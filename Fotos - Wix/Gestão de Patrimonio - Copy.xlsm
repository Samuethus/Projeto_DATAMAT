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slicers/slicer2.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slicers/slicer3.xml" ContentType="application/vnd.ms-excel.slicer+xml"/>
  <Override PartName="/xl/queryTables/queryTable1.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s1007293\OneDrive - Syngenta\Desktop\"/>
    </mc:Choice>
  </mc:AlternateContent>
  <bookViews>
    <workbookView xWindow="0" yWindow="0" windowWidth="20490" windowHeight="7755" tabRatio="547"/>
  </bookViews>
  <sheets>
    <sheet name="Investimentos" sheetId="12" r:id="rId1"/>
    <sheet name="Funds Rend" sheetId="20" state="hidden" r:id="rId2"/>
    <sheet name="Sheet8" sheetId="19" state="hidden" r:id="rId3"/>
    <sheet name="Payment" sheetId="8" r:id="rId4"/>
    <sheet name="Analytics FII" sheetId="10" state="hidden" r:id="rId5"/>
  </sheets>
  <definedNames>
    <definedName name="_xlcn.WorksheetConnection_GestãodePatrimonio.xlsmcontrole1" hidden="1">controle[]</definedName>
    <definedName name="_xlcn.WorksheetConnection_GestãodePatrimonio.xlsmfundo1" hidden="1">fundo[]</definedName>
    <definedName name="_xlcn.WorksheetConnection_TABELAEMCONSTRUÇÃO.xlsxações1" hidden="1">ações</definedName>
    <definedName name="pubhtml" localSheetId="2">Sheet8!$A$1:$E$25</definedName>
    <definedName name="pubhtml_1" localSheetId="2">Sheet8!#REF!</definedName>
    <definedName name="Slicer_AÇÃO">#N/A</definedName>
    <definedName name="Slicer_FATURAMENTO">#N/A</definedName>
    <definedName name="Slicer_Fundo">#N/A</definedName>
    <definedName name="Slicer_OPERAÇÃO">#N/A</definedName>
    <definedName name="Slicer_Periodo">#N/A</definedName>
    <definedName name="Slicer_Periodo1">#N/A</definedName>
    <definedName name="Slicer_TIPO">#N/A</definedName>
  </definedNames>
  <calcPr calcId="152511"/>
  <pivotCaches>
    <pivotCache cacheId="0" r:id="rId6"/>
    <pivotCache cacheId="1" r:id="rId7"/>
    <pivotCache cacheId="2" r:id="rId8"/>
    <pivotCache cacheId="15" r:id="rId9"/>
    <pivotCache cacheId="21" r:id="rId10"/>
  </pivotCaches>
  <extLst>
    <ext xmlns:x14="http://schemas.microsoft.com/office/spreadsheetml/2009/9/main" uri="{876F7934-8845-4945-9796-88D515C7AA90}">
      <x14:pivotCaches>
        <pivotCache cacheId="5" r:id="rId11"/>
      </x14:pivotCaches>
    </ext>
    <ext xmlns:x14="http://schemas.microsoft.com/office/spreadsheetml/2009/9/main" uri="{BBE1A952-AA13-448e-AADC-164F8A28A991}">
      <x14:slicerCaches>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ções-81665955-e764-43b7-a37a-364aff8bb4f4" name="ações" connection="WorksheetConnection_TABELA EM CONSTRUÇÃO.xlsx!ações"/>
          <x15:modelTable id="fundo-83724c7c-7729-4423-a56d-eda5933db3af" name="fundo" connection="WorksheetConnection_Gestão de Patrimonio.xlsm!fundo"/>
          <x15:modelTable id="controle-17bc8fb9-20ad-4caa-915e-ee0a12ba6b40" name="controle" connection="WorksheetConnection_Gestão de Patrimonio.xlsm!controle"/>
        </x15:modelTables>
        <x15:modelRelationships>
          <x15:modelRelationship fromTable="fundo" fromColumn="Fundo" toTable="controle" toColumn="AÇÃO"/>
        </x15:modelRelationships>
      </x15:dataModel>
    </ext>
  </extLst>
</workbook>
</file>

<file path=xl/calcChain.xml><?xml version="1.0" encoding="utf-8"?>
<calcChain xmlns="http://schemas.openxmlformats.org/spreadsheetml/2006/main">
  <c r="I184" i="12" l="1"/>
  <c r="I185" i="12"/>
  <c r="I186" i="12"/>
  <c r="V142" i="12"/>
  <c r="O182" i="12" l="1"/>
  <c r="O176" i="12"/>
  <c r="O171" i="12"/>
  <c r="O166" i="12"/>
  <c r="I53" i="8"/>
  <c r="M180" i="12" l="1"/>
  <c r="Q180" i="12" s="1"/>
  <c r="N180" i="12"/>
  <c r="P180" i="12" s="1"/>
  <c r="R180" i="12" l="1"/>
  <c r="S180" i="12"/>
  <c r="I52" i="8" l="1"/>
  <c r="I51" i="8"/>
  <c r="I50" i="8" l="1"/>
  <c r="K55" i="20"/>
  <c r="T134" i="12"/>
  <c r="T135" i="12"/>
  <c r="T136" i="12"/>
  <c r="T137" i="12"/>
  <c r="U138" i="12"/>
  <c r="T138" i="12" l="1"/>
  <c r="M183" i="12" l="1"/>
  <c r="Q183" i="12" s="1"/>
  <c r="I183" i="12"/>
  <c r="N183" i="12" s="1"/>
  <c r="P6" i="20"/>
  <c r="V137" i="12" s="1"/>
  <c r="P5" i="20"/>
  <c r="P4" i="20"/>
  <c r="P3" i="20"/>
  <c r="Q4" i="20" l="1"/>
  <c r="W135" i="12" s="1"/>
  <c r="V135" i="12"/>
  <c r="Q3" i="20"/>
  <c r="W134" i="12" s="1"/>
  <c r="V134" i="12"/>
  <c r="Q5" i="20"/>
  <c r="W136" i="12" s="1"/>
  <c r="V136" i="12"/>
  <c r="P183" i="12"/>
  <c r="S183" i="12" s="1"/>
  <c r="G68" i="20"/>
  <c r="G20" i="20"/>
  <c r="V138" i="12" l="1"/>
  <c r="R183" i="12"/>
  <c r="Q6" i="20"/>
  <c r="W137" i="12" s="1"/>
  <c r="W138" i="12" s="1"/>
  <c r="I49" i="8" l="1"/>
  <c r="N17" i="20" l="1"/>
  <c r="I182" i="12"/>
  <c r="I48" i="8" l="1"/>
  <c r="I181" i="12" l="1"/>
  <c r="I47" i="8" l="1"/>
  <c r="I180" i="12" l="1"/>
  <c r="I179" i="12" l="1"/>
  <c r="I178" i="12"/>
  <c r="I177" i="12"/>
  <c r="I176" i="12"/>
  <c r="I175" i="12"/>
  <c r="I174" i="12" l="1"/>
  <c r="I46" i="8"/>
  <c r="I171" i="12" l="1"/>
  <c r="I172" i="12"/>
  <c r="I173" i="12"/>
  <c r="I45" i="8"/>
  <c r="I44" i="8"/>
  <c r="I43" i="8"/>
  <c r="A42" i="8" l="1"/>
  <c r="I42" i="8"/>
  <c r="I170" i="12" l="1"/>
  <c r="M181" i="12" l="1"/>
  <c r="Q181" i="12" s="1"/>
  <c r="I169" i="12"/>
  <c r="N181" i="12" s="1"/>
  <c r="P181" i="12" l="1"/>
  <c r="S181" i="12" s="1"/>
  <c r="I41" i="8"/>
  <c r="I168" i="12"/>
  <c r="R181" i="12" l="1"/>
  <c r="H40" i="8"/>
  <c r="I40" i="8"/>
  <c r="I39" i="8" l="1"/>
  <c r="I122" i="12" l="1"/>
  <c r="I123" i="12"/>
  <c r="I124" i="12"/>
  <c r="I125" i="12"/>
  <c r="I126" i="12"/>
  <c r="I127" i="12"/>
  <c r="I128" i="12"/>
  <c r="I129" i="12"/>
  <c r="I167" i="12"/>
  <c r="I166" i="12" l="1"/>
  <c r="I165" i="12"/>
  <c r="I164" i="12"/>
  <c r="I163" i="12"/>
  <c r="I162" i="12"/>
  <c r="I161" i="12"/>
  <c r="I160" i="12"/>
  <c r="B38" i="8" l="1"/>
  <c r="I38" i="8"/>
  <c r="B37" i="8" l="1"/>
  <c r="I37" i="8"/>
  <c r="I159" i="12"/>
  <c r="B36" i="8" l="1"/>
  <c r="I36" i="8"/>
  <c r="I35" i="8" l="1"/>
  <c r="B35" i="8"/>
  <c r="I158" i="12"/>
  <c r="I157" i="12" l="1"/>
  <c r="I156" i="12"/>
  <c r="M174" i="12"/>
  <c r="M169" i="12"/>
  <c r="Q169" i="12" s="1"/>
  <c r="I155" i="12" l="1"/>
  <c r="N169" i="12" s="1"/>
  <c r="P169" i="12" s="1"/>
  <c r="R169" i="12" s="1"/>
  <c r="I154" i="12"/>
  <c r="S169" i="12" l="1"/>
  <c r="I153" i="12"/>
  <c r="Q174" i="12" l="1"/>
  <c r="I152" i="12"/>
  <c r="N174" i="12" s="1"/>
  <c r="P174" i="12" l="1"/>
  <c r="R174" i="12" s="1"/>
  <c r="S174" i="12" l="1"/>
  <c r="I34" i="8"/>
  <c r="I151" i="12"/>
  <c r="I17" i="12" l="1"/>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30" i="12"/>
  <c r="I131" i="12"/>
  <c r="I132" i="12"/>
  <c r="I133" i="12"/>
  <c r="I134" i="12"/>
  <c r="I135" i="12"/>
  <c r="I136" i="12"/>
  <c r="I137" i="12"/>
  <c r="I138" i="12"/>
  <c r="I139" i="12"/>
  <c r="I140" i="12"/>
  <c r="I141" i="12"/>
  <c r="I142" i="12"/>
  <c r="I143" i="12"/>
  <c r="I144" i="12"/>
  <c r="I145" i="12"/>
  <c r="I146" i="12"/>
  <c r="I147" i="12"/>
  <c r="I148" i="12"/>
  <c r="I149" i="12"/>
  <c r="I150" i="12"/>
  <c r="N171" i="12" l="1"/>
  <c r="N166" i="12"/>
  <c r="N175" i="12"/>
  <c r="N173" i="12"/>
  <c r="N184" i="12"/>
  <c r="N167" i="12"/>
  <c r="N172" i="12"/>
  <c r="N185" i="12"/>
  <c r="N178" i="12"/>
  <c r="N176" i="12"/>
  <c r="N177" i="12"/>
  <c r="N179" i="12"/>
  <c r="N170" i="12"/>
  <c r="I33" i="8"/>
  <c r="I32" i="8"/>
  <c r="O193" i="12" l="1"/>
  <c r="I31" i="8"/>
  <c r="Q182" i="12" l="1"/>
  <c r="M166" i="12"/>
  <c r="Q166" i="12" s="1"/>
  <c r="M167" i="12"/>
  <c r="Q167" i="12" s="1"/>
  <c r="M170" i="12"/>
  <c r="Q170" i="12" s="1"/>
  <c r="M171" i="12"/>
  <c r="Q171" i="12" s="1"/>
  <c r="M172" i="12"/>
  <c r="M173" i="12"/>
  <c r="Q173" i="12" s="1"/>
  <c r="M175" i="12"/>
  <c r="Q175" i="12" s="1"/>
  <c r="M178" i="12"/>
  <c r="Q178" i="12" s="1"/>
  <c r="M179" i="12"/>
  <c r="Q179" i="12" s="1"/>
  <c r="M184" i="12"/>
  <c r="Q184" i="12" s="1"/>
  <c r="M185" i="12"/>
  <c r="Q185" i="12" s="1"/>
  <c r="M177" i="12"/>
  <c r="Q177" i="12" s="1"/>
  <c r="M176" i="12"/>
  <c r="Q176" i="12" s="1"/>
  <c r="V143" i="12"/>
  <c r="Q172" i="12" l="1"/>
  <c r="N193" i="12"/>
  <c r="V144" i="12"/>
  <c r="V145" i="12" s="1"/>
  <c r="P166" i="12"/>
  <c r="J80" i="12"/>
  <c r="J76" i="12"/>
  <c r="P182" i="12"/>
  <c r="N192" i="12" l="1"/>
  <c r="R193" i="12"/>
  <c r="Q193" i="12"/>
  <c r="R182" i="12"/>
  <c r="S182" i="12"/>
  <c r="R166" i="12"/>
  <c r="S166" i="12"/>
  <c r="P178" i="12"/>
  <c r="P175" i="12"/>
  <c r="P172" i="12"/>
  <c r="P173" i="12"/>
  <c r="P179" i="12"/>
  <c r="P185" i="12"/>
  <c r="P167" i="12"/>
  <c r="P184" i="12"/>
  <c r="P177" i="12"/>
  <c r="P170" i="12"/>
  <c r="P176" i="12"/>
  <c r="P171" i="12"/>
  <c r="I2" i="8"/>
  <c r="I3" i="8"/>
  <c r="I4" i="8"/>
  <c r="I6" i="8"/>
  <c r="I7" i="8"/>
  <c r="I8" i="8"/>
  <c r="I9" i="8"/>
  <c r="I10" i="8"/>
  <c r="I11" i="8"/>
  <c r="I12" i="8"/>
  <c r="I13" i="8"/>
  <c r="I14" i="8"/>
  <c r="I15" i="8"/>
  <c r="I16" i="8"/>
  <c r="I17" i="8"/>
  <c r="I18" i="8"/>
  <c r="I19" i="8"/>
  <c r="I20" i="8"/>
  <c r="I21" i="8"/>
  <c r="I22" i="8"/>
  <c r="I23" i="8"/>
  <c r="I24" i="8"/>
  <c r="I25" i="8"/>
  <c r="I26" i="8"/>
  <c r="I27" i="8"/>
  <c r="I28" i="8"/>
  <c r="I29" i="8"/>
  <c r="I30" i="8"/>
  <c r="S193" i="12" l="1"/>
  <c r="T193" i="12" s="1"/>
  <c r="Q192" i="12"/>
  <c r="R192" i="12"/>
  <c r="R178" i="12"/>
  <c r="S178" i="12"/>
  <c r="R171" i="12"/>
  <c r="S171" i="12"/>
  <c r="R179" i="12"/>
  <c r="S179" i="12"/>
  <c r="R184" i="12"/>
  <c r="S184" i="12"/>
  <c r="R176" i="12"/>
  <c r="S176" i="12"/>
  <c r="R172" i="12"/>
  <c r="S172" i="12"/>
  <c r="R177" i="12"/>
  <c r="S177" i="12"/>
  <c r="R173" i="12"/>
  <c r="S173" i="12"/>
  <c r="R167" i="12"/>
  <c r="S167" i="12"/>
  <c r="R170" i="12"/>
  <c r="S170" i="12"/>
  <c r="R185" i="12"/>
  <c r="S185" i="12"/>
  <c r="R175" i="12"/>
  <c r="S175" i="12"/>
  <c r="B29" i="8"/>
  <c r="S192" i="12" l="1"/>
  <c r="T192" i="12" s="1"/>
  <c r="H3" i="10"/>
  <c r="I3" i="10" s="1"/>
  <c r="J3" i="10" s="1"/>
  <c r="K3" i="10" s="1"/>
  <c r="AX3" i="10" l="1"/>
  <c r="AX4" i="10" s="1"/>
  <c r="AY3" i="10" l="1"/>
  <c r="AZ3" i="10" s="1"/>
  <c r="BA3" i="10" s="1"/>
  <c r="BB3" i="10" s="1"/>
  <c r="AY4" i="10"/>
  <c r="AZ4" i="10" s="1"/>
  <c r="AX5" i="10"/>
  <c r="AX6" i="10" s="1"/>
  <c r="AY6" i="10" s="1"/>
  <c r="AZ6" i="10" s="1"/>
  <c r="BA4" i="10" l="1"/>
  <c r="AX7" i="10"/>
  <c r="AY5" i="10"/>
  <c r="AZ5" i="10" s="1"/>
  <c r="BB4" i="10"/>
  <c r="AX8" i="10"/>
  <c r="AY7" i="10"/>
  <c r="AZ7" i="10" s="1"/>
  <c r="BA5" i="10" l="1"/>
  <c r="BA6" i="10"/>
  <c r="BB5" i="10"/>
  <c r="AX9" i="10"/>
  <c r="AY8" i="10"/>
  <c r="AZ8" i="10" s="1"/>
  <c r="AX10" i="10" l="1"/>
  <c r="AY9" i="10"/>
  <c r="BA7" i="10"/>
  <c r="BB6" i="10"/>
  <c r="BA8" i="10" l="1"/>
  <c r="BB7" i="10"/>
  <c r="AZ9" i="10"/>
  <c r="AX11" i="10"/>
  <c r="AY10" i="10"/>
  <c r="AZ10" i="10" s="1"/>
  <c r="AX12" i="10" l="1"/>
  <c r="AY11" i="10"/>
  <c r="AZ11" i="10" s="1"/>
  <c r="BA9" i="10"/>
  <c r="BB8" i="10"/>
  <c r="BB9" i="10" l="1"/>
  <c r="BA10" i="10"/>
  <c r="AX13" i="10"/>
  <c r="AY12" i="10"/>
  <c r="AZ12" i="10" s="1"/>
  <c r="AX14" i="10" l="1"/>
  <c r="AY13" i="10"/>
  <c r="AZ13" i="10" s="1"/>
  <c r="BA11" i="10"/>
  <c r="BB10" i="10"/>
  <c r="AX15" i="10" l="1"/>
  <c r="AY14" i="10"/>
  <c r="AZ14" i="10" s="1"/>
  <c r="BA12" i="10"/>
  <c r="BB11" i="10"/>
  <c r="BA13" i="10" l="1"/>
  <c r="BB12" i="10"/>
  <c r="AX16" i="10"/>
  <c r="AY15" i="10"/>
  <c r="AZ15" i="10" s="1"/>
  <c r="AY16" i="10" l="1"/>
  <c r="AZ16" i="10" s="1"/>
  <c r="AX17" i="10"/>
  <c r="BA14" i="10"/>
  <c r="BB13" i="10"/>
  <c r="AX18" i="10" l="1"/>
  <c r="AY17" i="10"/>
  <c r="AZ17" i="10" s="1"/>
  <c r="BA15" i="10"/>
  <c r="BB14" i="10"/>
  <c r="B5" i="8"/>
  <c r="BA16" i="10" l="1"/>
  <c r="BB15" i="10"/>
  <c r="AX19" i="10"/>
  <c r="AY18" i="10"/>
  <c r="AZ18" i="10" s="1"/>
  <c r="AX20" i="10" l="1"/>
  <c r="AY19" i="10"/>
  <c r="AZ19" i="10" s="1"/>
  <c r="BA17" i="10"/>
  <c r="BB16" i="10"/>
  <c r="BA18" i="10" l="1"/>
  <c r="BB17" i="10"/>
  <c r="AX21" i="10"/>
  <c r="AY20" i="10"/>
  <c r="AZ20" i="10" s="1"/>
  <c r="AX22" i="10" l="1"/>
  <c r="AY21" i="10"/>
  <c r="AZ21" i="10" s="1"/>
  <c r="BA19" i="10"/>
  <c r="BB18" i="10"/>
  <c r="BA20" i="10" l="1"/>
  <c r="BB19" i="10"/>
  <c r="AX23" i="10"/>
  <c r="AY22" i="10"/>
  <c r="AZ22" i="10" s="1"/>
  <c r="AX24" i="10" l="1"/>
  <c r="AY23" i="10"/>
  <c r="AZ23" i="10" s="1"/>
  <c r="BA21" i="10"/>
  <c r="BB20" i="10"/>
  <c r="BA22" i="10" l="1"/>
  <c r="BB21" i="10"/>
  <c r="AX25" i="10"/>
  <c r="AY24" i="10"/>
  <c r="AZ24" i="10" s="1"/>
  <c r="AX26" i="10" l="1"/>
  <c r="AY26" i="10" s="1"/>
  <c r="AY25" i="10"/>
  <c r="AZ25" i="10" s="1"/>
  <c r="BA23" i="10"/>
  <c r="BB22" i="10"/>
  <c r="BA24" i="10" l="1"/>
  <c r="BB23" i="10"/>
  <c r="AZ26" i="10"/>
  <c r="AY29" i="10"/>
  <c r="BA25" i="10" l="1"/>
  <c r="BB24" i="10"/>
  <c r="BA26" i="10" l="1"/>
  <c r="BB25" i="10"/>
  <c r="BB26" i="10" l="1"/>
  <c r="BB29" i="10" s="1"/>
  <c r="BA29" i="10"/>
  <c r="A4" i="10" l="1"/>
  <c r="A5" i="10" s="1"/>
  <c r="A6" i="10" s="1"/>
  <c r="A7" i="10"/>
  <c r="B6" i="10"/>
  <c r="C6" i="10" s="1"/>
  <c r="B5" i="10"/>
  <c r="C5" i="10" s="1"/>
  <c r="B4" i="10" l="1"/>
  <c r="C4" i="10" s="1"/>
  <c r="A8" i="10"/>
  <c r="B7" i="10"/>
  <c r="C7" i="10" s="1"/>
  <c r="A9" i="10" l="1"/>
  <c r="B8" i="10"/>
  <c r="C8" i="10" s="1"/>
  <c r="M4" i="10" l="1"/>
  <c r="N4" i="10" s="1"/>
  <c r="O4" i="10" s="1"/>
  <c r="D4" i="10"/>
  <c r="A10" i="10"/>
  <c r="B9" i="10"/>
  <c r="C9" i="10" s="1"/>
  <c r="M5" i="10"/>
  <c r="A11" i="10" l="1"/>
  <c r="B10" i="10"/>
  <c r="D5" i="10"/>
  <c r="E4" i="10"/>
  <c r="M6" i="10"/>
  <c r="N5" i="10"/>
  <c r="O5" i="10" s="1"/>
  <c r="C10" i="10" l="1"/>
  <c r="E5" i="10"/>
  <c r="D6" i="10"/>
  <c r="A12" i="10"/>
  <c r="B11" i="10"/>
  <c r="C11" i="10" s="1"/>
  <c r="M7" i="10"/>
  <c r="N6" i="10"/>
  <c r="O6" i="10" s="1"/>
  <c r="P4" i="10"/>
  <c r="AI26" i="10"/>
  <c r="AE4" i="10"/>
  <c r="AO34" i="10"/>
  <c r="AR4" i="10"/>
  <c r="Y4" i="10"/>
  <c r="D7" i="10" l="1"/>
  <c r="E6" i="10"/>
  <c r="A13" i="10"/>
  <c r="B12" i="10"/>
  <c r="C12" i="10" s="1"/>
  <c r="G4" i="10"/>
  <c r="G5" i="10" s="1"/>
  <c r="H5" i="10" s="1"/>
  <c r="I5" i="10" s="1"/>
  <c r="P5" i="10"/>
  <c r="Q4" i="10"/>
  <c r="M8" i="10"/>
  <c r="N7" i="10"/>
  <c r="O7" i="10" s="1"/>
  <c r="AE5" i="10"/>
  <c r="AF4" i="10"/>
  <c r="AG4" i="10"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R5" i="10"/>
  <c r="AS4" i="10"/>
  <c r="AT4" i="10" s="1"/>
  <c r="Z4" i="10"/>
  <c r="AA4" i="10" s="1"/>
  <c r="Y5" i="10"/>
  <c r="Y6" i="10" s="1"/>
  <c r="S4" i="10"/>
  <c r="T4" i="10" s="1"/>
  <c r="H4" i="10" l="1"/>
  <c r="I4" i="10" s="1"/>
  <c r="G6" i="10"/>
  <c r="H6" i="10" s="1"/>
  <c r="I6" i="10" s="1"/>
  <c r="D8" i="10"/>
  <c r="E7" i="10"/>
  <c r="A14" i="10"/>
  <c r="B13" i="10"/>
  <c r="C13" i="10" s="1"/>
  <c r="M9" i="10"/>
  <c r="N8" i="10"/>
  <c r="P6" i="10"/>
  <c r="Q5" i="10"/>
  <c r="AF5" i="10"/>
  <c r="AG5" i="10" s="1"/>
  <c r="AE6" i="10"/>
  <c r="AB4" i="10"/>
  <c r="AC4" i="10" s="1"/>
  <c r="AU4" i="10"/>
  <c r="AR6" i="10"/>
  <c r="AS5" i="10"/>
  <c r="AT5" i="10" s="1"/>
  <c r="Z5" i="10"/>
  <c r="AA5" i="10" s="1"/>
  <c r="Y7" i="10"/>
  <c r="Z6" i="10"/>
  <c r="AA6" i="10" s="1"/>
  <c r="AL4" i="10"/>
  <c r="S5" i="10"/>
  <c r="U4" i="10"/>
  <c r="V4" i="10" s="1"/>
  <c r="W4" i="10" s="1"/>
  <c r="G7" i="10" l="1"/>
  <c r="H7" i="10" s="1"/>
  <c r="I7" i="10" s="1"/>
  <c r="A15" i="10"/>
  <c r="B14" i="10"/>
  <c r="C14" i="10" s="1"/>
  <c r="D9" i="10"/>
  <c r="E8" i="10"/>
  <c r="J4" i="10"/>
  <c r="P7" i="10"/>
  <c r="Q6" i="10"/>
  <c r="O8" i="10"/>
  <c r="M10" i="10"/>
  <c r="N9" i="10"/>
  <c r="O9" i="10" s="1"/>
  <c r="AB5" i="10"/>
  <c r="AB6" i="10" s="1"/>
  <c r="AE7" i="10"/>
  <c r="AF6" i="10"/>
  <c r="AG6" i="10" s="1"/>
  <c r="AH4" i="10"/>
  <c r="AM4" i="10"/>
  <c r="AN4" i="10" s="1"/>
  <c r="AO4" i="10" s="1"/>
  <c r="S6" i="10"/>
  <c r="T5" i="10"/>
  <c r="U5" i="10" s="1"/>
  <c r="V5" i="10" s="1"/>
  <c r="W5" i="10" s="1"/>
  <c r="AU5" i="10"/>
  <c r="AV4" i="10"/>
  <c r="AR7" i="10"/>
  <c r="AS6" i="10"/>
  <c r="Y8" i="10"/>
  <c r="Z7" i="10"/>
  <c r="AA7" i="10" s="1"/>
  <c r="AL5" i="10"/>
  <c r="AM5" i="10" s="1"/>
  <c r="G8" i="10" l="1"/>
  <c r="H8" i="10" s="1"/>
  <c r="I8" i="10" s="1"/>
  <c r="E9" i="10"/>
  <c r="D10" i="10"/>
  <c r="A16" i="10"/>
  <c r="B15" i="10"/>
  <c r="C15" i="10" s="1"/>
  <c r="K4" i="10"/>
  <c r="J5" i="10"/>
  <c r="N10" i="10"/>
  <c r="O10" i="10" s="1"/>
  <c r="M11" i="10"/>
  <c r="P8" i="10"/>
  <c r="Q7" i="10"/>
  <c r="AC5" i="10"/>
  <c r="AH5" i="10"/>
  <c r="AI4" i="10"/>
  <c r="AE8" i="10"/>
  <c r="AF7" i="10"/>
  <c r="S7" i="10"/>
  <c r="T6" i="10"/>
  <c r="U6" i="10" s="1"/>
  <c r="V6" i="10" s="1"/>
  <c r="W6" i="10" s="1"/>
  <c r="AT6" i="10"/>
  <c r="AU6" i="10" s="1"/>
  <c r="AR8" i="10"/>
  <c r="AS7" i="10"/>
  <c r="AT7" i="10" s="1"/>
  <c r="AV5" i="10"/>
  <c r="AB7" i="10"/>
  <c r="AC6" i="10"/>
  <c r="Y9" i="10"/>
  <c r="Z8" i="10"/>
  <c r="AA8" i="10" s="1"/>
  <c r="AN5" i="10"/>
  <c r="AO5" i="10" s="1"/>
  <c r="AL6" i="10"/>
  <c r="AM6" i="10" s="1"/>
  <c r="G9" i="10" l="1"/>
  <c r="H9" i="10" s="1"/>
  <c r="I9" i="10" s="1"/>
  <c r="D11" i="10"/>
  <c r="E10" i="10"/>
  <c r="B16" i="10"/>
  <c r="C16" i="10" s="1"/>
  <c r="A17" i="10"/>
  <c r="K5" i="10"/>
  <c r="J6" i="10"/>
  <c r="N11" i="10"/>
  <c r="O11" i="10" s="1"/>
  <c r="M12" i="10"/>
  <c r="P9" i="10"/>
  <c r="Q8" i="10"/>
  <c r="AG7" i="10"/>
  <c r="AF8" i="10"/>
  <c r="AG8" i="10" s="1"/>
  <c r="AE9" i="10"/>
  <c r="AH6" i="10"/>
  <c r="AI5" i="10"/>
  <c r="S8" i="10"/>
  <c r="T7" i="10"/>
  <c r="U7" i="10" s="1"/>
  <c r="V7" i="10" s="1"/>
  <c r="W7" i="10" s="1"/>
  <c r="AR9" i="10"/>
  <c r="AS8" i="10"/>
  <c r="AT8" i="10" s="1"/>
  <c r="AU7" i="10"/>
  <c r="AV6" i="10"/>
  <c r="Y10" i="10"/>
  <c r="Z9" i="10"/>
  <c r="AA9" i="10" s="1"/>
  <c r="AB8" i="10"/>
  <c r="AC7" i="10"/>
  <c r="AN6" i="10"/>
  <c r="AO6" i="10" s="1"/>
  <c r="AL7" i="10"/>
  <c r="AM7" i="10" s="1"/>
  <c r="G10" i="10" l="1"/>
  <c r="H10" i="10" s="1"/>
  <c r="I10" i="10" s="1"/>
  <c r="A18" i="10"/>
  <c r="B17" i="10"/>
  <c r="C17" i="10" s="1"/>
  <c r="D12" i="10"/>
  <c r="E11" i="10"/>
  <c r="J7" i="10"/>
  <c r="K6" i="10"/>
  <c r="P10" i="10"/>
  <c r="Q9" i="10"/>
  <c r="M13" i="10"/>
  <c r="N12" i="10"/>
  <c r="O12" i="10" s="1"/>
  <c r="AF9" i="10"/>
  <c r="AG9" i="10" s="1"/>
  <c r="AE10" i="10"/>
  <c r="AH7" i="10"/>
  <c r="AI6" i="10"/>
  <c r="AN7" i="10"/>
  <c r="AO7" i="10" s="1"/>
  <c r="S9" i="10"/>
  <c r="T8" i="10"/>
  <c r="U8" i="10" s="1"/>
  <c r="V8" i="10" s="1"/>
  <c r="W8" i="10" s="1"/>
  <c r="AU8" i="10"/>
  <c r="AV7" i="10"/>
  <c r="AS9" i="10"/>
  <c r="AT9" i="10" s="1"/>
  <c r="AR10" i="10"/>
  <c r="AB9" i="10"/>
  <c r="AC8" i="10"/>
  <c r="Y11" i="10"/>
  <c r="Z10" i="10"/>
  <c r="AA10" i="10" s="1"/>
  <c r="AL8" i="10"/>
  <c r="AM8" i="10" s="1"/>
  <c r="G11" i="10" l="1"/>
  <c r="H11" i="10" s="1"/>
  <c r="I11" i="10" s="1"/>
  <c r="D13" i="10"/>
  <c r="E12" i="10"/>
  <c r="A19" i="10"/>
  <c r="B18" i="10"/>
  <c r="C18" i="10" s="1"/>
  <c r="K7" i="10"/>
  <c r="J8" i="10"/>
  <c r="M14" i="10"/>
  <c r="N13" i="10"/>
  <c r="O13" i="10" s="1"/>
  <c r="P11" i="10"/>
  <c r="Q10" i="10"/>
  <c r="AE11" i="10"/>
  <c r="AF10" i="10"/>
  <c r="AH8" i="10"/>
  <c r="AI7" i="10"/>
  <c r="S10" i="10"/>
  <c r="T9" i="10"/>
  <c r="U9" i="10" s="1"/>
  <c r="V9" i="10" s="1"/>
  <c r="W9" i="10" s="1"/>
  <c r="AR11" i="10"/>
  <c r="AS10" i="10"/>
  <c r="AT10" i="10" s="1"/>
  <c r="AU9" i="10"/>
  <c r="AV8" i="10"/>
  <c r="Z11" i="10"/>
  <c r="AA11" i="10" s="1"/>
  <c r="Y12" i="10"/>
  <c r="AB10" i="10"/>
  <c r="AC9" i="10"/>
  <c r="AN8" i="10"/>
  <c r="AO8" i="10" s="1"/>
  <c r="AL9" i="10"/>
  <c r="AM9" i="10" s="1"/>
  <c r="G12" i="10" l="1"/>
  <c r="H12" i="10" s="1"/>
  <c r="I12" i="10" s="1"/>
  <c r="A20" i="10"/>
  <c r="B19" i="10"/>
  <c r="C19" i="10" s="1"/>
  <c r="D14" i="10"/>
  <c r="E13" i="10"/>
  <c r="K8" i="10"/>
  <c r="J9" i="10"/>
  <c r="Q11" i="10"/>
  <c r="P12" i="10"/>
  <c r="M15" i="10"/>
  <c r="N14" i="10"/>
  <c r="O14" i="10" s="1"/>
  <c r="AH9" i="10"/>
  <c r="AI8" i="10"/>
  <c r="AG10" i="10"/>
  <c r="AE12" i="10"/>
  <c r="AF11" i="10"/>
  <c r="AG11" i="10" s="1"/>
  <c r="S11" i="10"/>
  <c r="T10" i="10"/>
  <c r="U10" i="10" s="1"/>
  <c r="V10" i="10" s="1"/>
  <c r="W10" i="10" s="1"/>
  <c r="AU10" i="10"/>
  <c r="AV9" i="10"/>
  <c r="AR12" i="10"/>
  <c r="AS11" i="10"/>
  <c r="AT11" i="10" s="1"/>
  <c r="AB11" i="10"/>
  <c r="AC10" i="10"/>
  <c r="Y13" i="10"/>
  <c r="Z12" i="10"/>
  <c r="AA12" i="10" s="1"/>
  <c r="AN9" i="10"/>
  <c r="AO9" i="10" s="1"/>
  <c r="AL10" i="10"/>
  <c r="AM10" i="10" s="1"/>
  <c r="G13" i="10" l="1"/>
  <c r="H13" i="10" s="1"/>
  <c r="I13" i="10" s="1"/>
  <c r="D15" i="10"/>
  <c r="E14" i="10"/>
  <c r="A21" i="10"/>
  <c r="B20" i="10"/>
  <c r="C20" i="10" s="1"/>
  <c r="J10" i="10"/>
  <c r="K9" i="10"/>
  <c r="M16" i="10"/>
  <c r="N15" i="10"/>
  <c r="O15" i="10" s="1"/>
  <c r="P13" i="10"/>
  <c r="Q12" i="10"/>
  <c r="AN10" i="10"/>
  <c r="AO10" i="10" s="1"/>
  <c r="AE13" i="10"/>
  <c r="AF12" i="10"/>
  <c r="AG12" i="10" s="1"/>
  <c r="AI9" i="10"/>
  <c r="AH10" i="10"/>
  <c r="S12" i="10"/>
  <c r="T11" i="10"/>
  <c r="U11" i="10" s="1"/>
  <c r="V11" i="10" s="1"/>
  <c r="W11" i="10" s="1"/>
  <c r="AR13" i="10"/>
  <c r="AS12" i="10"/>
  <c r="AT12" i="10" s="1"/>
  <c r="AV10" i="10"/>
  <c r="AU11" i="10"/>
  <c r="Y14" i="10"/>
  <c r="Z13" i="10"/>
  <c r="AA13" i="10" s="1"/>
  <c r="AB12" i="10"/>
  <c r="AC11" i="10"/>
  <c r="AL11" i="10"/>
  <c r="AM11" i="10" s="1"/>
  <c r="G14" i="10" l="1"/>
  <c r="H14" i="10" s="1"/>
  <c r="I14" i="10" s="1"/>
  <c r="A22" i="10"/>
  <c r="B21" i="10"/>
  <c r="C21" i="10" s="1"/>
  <c r="D16" i="10"/>
  <c r="E15" i="10"/>
  <c r="K10" i="10"/>
  <c r="J11" i="10"/>
  <c r="P14" i="10"/>
  <c r="Q13" i="10"/>
  <c r="M17" i="10"/>
  <c r="N16" i="10"/>
  <c r="O16" i="10" s="1"/>
  <c r="AH11" i="10"/>
  <c r="AI10" i="10"/>
  <c r="AF13" i="10"/>
  <c r="AG13" i="10" s="1"/>
  <c r="AE14" i="10"/>
  <c r="S13" i="10"/>
  <c r="T12" i="10"/>
  <c r="U12" i="10" s="1"/>
  <c r="V12" i="10" s="1"/>
  <c r="W12" i="10" s="1"/>
  <c r="AV11" i="10"/>
  <c r="AU12" i="10"/>
  <c r="AS13" i="10"/>
  <c r="AT13" i="10" s="1"/>
  <c r="AR14" i="10"/>
  <c r="AB13" i="10"/>
  <c r="AC12" i="10"/>
  <c r="Y15" i="10"/>
  <c r="Z14" i="10"/>
  <c r="AA14" i="10" s="1"/>
  <c r="AN11" i="10"/>
  <c r="AO11" i="10" s="1"/>
  <c r="AL12" i="10"/>
  <c r="AM12" i="10" s="1"/>
  <c r="G15" i="10" l="1"/>
  <c r="G16" i="10" s="1"/>
  <c r="D17" i="10"/>
  <c r="E16" i="10"/>
  <c r="A23" i="10"/>
  <c r="B22" i="10"/>
  <c r="C22" i="10" s="1"/>
  <c r="K11" i="10"/>
  <c r="J12" i="10"/>
  <c r="M18" i="10"/>
  <c r="N17" i="10"/>
  <c r="O17" i="10" s="1"/>
  <c r="P15" i="10"/>
  <c r="Q14" i="10"/>
  <c r="AN12" i="10"/>
  <c r="AO12" i="10" s="1"/>
  <c r="AE15" i="10"/>
  <c r="AF14" i="10"/>
  <c r="AG14" i="10" s="1"/>
  <c r="AH12" i="10"/>
  <c r="AI11" i="10"/>
  <c r="S14" i="10"/>
  <c r="T13" i="10"/>
  <c r="U13" i="10" s="1"/>
  <c r="V13" i="10" s="1"/>
  <c r="W13" i="10" s="1"/>
  <c r="AU13" i="10"/>
  <c r="AV12" i="10"/>
  <c r="AR15" i="10"/>
  <c r="AS14" i="10"/>
  <c r="AT14" i="10" s="1"/>
  <c r="Y16" i="10"/>
  <c r="Z15" i="10"/>
  <c r="AA15" i="10" s="1"/>
  <c r="AB14" i="10"/>
  <c r="AC13" i="10"/>
  <c r="AL13" i="10"/>
  <c r="AM13" i="10" s="1"/>
  <c r="H15" i="10" l="1"/>
  <c r="I15" i="10" s="1"/>
  <c r="A24" i="10"/>
  <c r="B23" i="10"/>
  <c r="C23" i="10" s="1"/>
  <c r="D18" i="10"/>
  <c r="E17" i="10"/>
  <c r="J13" i="10"/>
  <c r="K12" i="10"/>
  <c r="Q15" i="10"/>
  <c r="P16" i="10"/>
  <c r="M19" i="10"/>
  <c r="N18" i="10"/>
  <c r="O18" i="10" s="1"/>
  <c r="H16" i="10"/>
  <c r="I16" i="10" s="1"/>
  <c r="G17" i="10"/>
  <c r="AH13" i="10"/>
  <c r="AI12" i="10"/>
  <c r="AE16" i="10"/>
  <c r="AF15" i="10"/>
  <c r="AG15" i="10" s="1"/>
  <c r="S15" i="10"/>
  <c r="T14" i="10"/>
  <c r="U14" i="10" s="1"/>
  <c r="V14" i="10" s="1"/>
  <c r="W14" i="10" s="1"/>
  <c r="AR16" i="10"/>
  <c r="AS15" i="10"/>
  <c r="AT15" i="10" s="1"/>
  <c r="AU14" i="10"/>
  <c r="AV13" i="10"/>
  <c r="AB15" i="10"/>
  <c r="AC14" i="10"/>
  <c r="Y17" i="10"/>
  <c r="Z16" i="10"/>
  <c r="AA16" i="10" s="1"/>
  <c r="AN13" i="10"/>
  <c r="AO13" i="10" s="1"/>
  <c r="AL14" i="10"/>
  <c r="AM14" i="10" s="1"/>
  <c r="AN14" i="10" l="1"/>
  <c r="AO14" i="10" s="1"/>
  <c r="D19" i="10"/>
  <c r="E18" i="10"/>
  <c r="A25" i="10"/>
  <c r="B24" i="10"/>
  <c r="C24" i="10" s="1"/>
  <c r="J14" i="10"/>
  <c r="K14" i="10" s="1"/>
  <c r="K13" i="10"/>
  <c r="M20" i="10"/>
  <c r="N19" i="10"/>
  <c r="O19" i="10" s="1"/>
  <c r="P17" i="10"/>
  <c r="Q16" i="10"/>
  <c r="G18" i="10"/>
  <c r="H17" i="10"/>
  <c r="I17" i="10" s="1"/>
  <c r="AF16" i="10"/>
  <c r="AG16" i="10" s="1"/>
  <c r="AE17" i="10"/>
  <c r="AH14" i="10"/>
  <c r="AI13" i="10"/>
  <c r="S16" i="10"/>
  <c r="T15" i="10"/>
  <c r="U15" i="10" s="1"/>
  <c r="V15" i="10" s="1"/>
  <c r="W15" i="10" s="1"/>
  <c r="AV14" i="10"/>
  <c r="AU15" i="10"/>
  <c r="AR17" i="10"/>
  <c r="AS16" i="10"/>
  <c r="AT16" i="10" s="1"/>
  <c r="Y18" i="10"/>
  <c r="Z17" i="10"/>
  <c r="AA17" i="10" s="1"/>
  <c r="AB16" i="10"/>
  <c r="AC15" i="10"/>
  <c r="AL15" i="10"/>
  <c r="AM15" i="10" s="1"/>
  <c r="A26" i="10" l="1"/>
  <c r="B25" i="10"/>
  <c r="C25" i="10" s="1"/>
  <c r="D20" i="10"/>
  <c r="E19" i="10"/>
  <c r="J15" i="10"/>
  <c r="J16" i="10" s="1"/>
  <c r="M21" i="10"/>
  <c r="N20" i="10"/>
  <c r="O20" i="10" s="1"/>
  <c r="P18" i="10"/>
  <c r="Q17" i="10"/>
  <c r="G19" i="10"/>
  <c r="H18" i="10"/>
  <c r="I18" i="10" s="1"/>
  <c r="AH15" i="10"/>
  <c r="AI14" i="10"/>
  <c r="AF17" i="10"/>
  <c r="AG17" i="10" s="1"/>
  <c r="AE18" i="10"/>
  <c r="S17" i="10"/>
  <c r="T16" i="10"/>
  <c r="U16" i="10" s="1"/>
  <c r="V16" i="10" s="1"/>
  <c r="W16" i="10" s="1"/>
  <c r="AU16" i="10"/>
  <c r="AV15" i="10"/>
  <c r="AR18" i="10"/>
  <c r="AS17" i="10"/>
  <c r="AT17" i="10" s="1"/>
  <c r="AB17" i="10"/>
  <c r="AC16" i="10"/>
  <c r="Y19" i="10"/>
  <c r="Z18" i="10"/>
  <c r="AA18" i="10" s="1"/>
  <c r="AN15" i="10"/>
  <c r="AO15" i="10" s="1"/>
  <c r="AL16" i="10"/>
  <c r="AM16" i="10" s="1"/>
  <c r="D21" i="10" l="1"/>
  <c r="E20" i="10"/>
  <c r="C29" i="10"/>
  <c r="B26" i="10"/>
  <c r="K15" i="10"/>
  <c r="P19" i="10"/>
  <c r="Q18" i="10"/>
  <c r="M22" i="10"/>
  <c r="N21" i="10"/>
  <c r="O21" i="10" s="1"/>
  <c r="G20" i="10"/>
  <c r="H19" i="10"/>
  <c r="I19" i="10" s="1"/>
  <c r="K16" i="10"/>
  <c r="J17" i="10"/>
  <c r="AE19" i="10"/>
  <c r="AF18" i="10"/>
  <c r="AG18" i="10" s="1"/>
  <c r="AH16" i="10"/>
  <c r="AI15" i="10"/>
  <c r="S18" i="10"/>
  <c r="T17" i="10"/>
  <c r="U17" i="10" s="1"/>
  <c r="V17" i="10" s="1"/>
  <c r="W17" i="10" s="1"/>
  <c r="AR19" i="10"/>
  <c r="AS18" i="10"/>
  <c r="AT18" i="10" s="1"/>
  <c r="AU17" i="10"/>
  <c r="AV16" i="10"/>
  <c r="Y20" i="10"/>
  <c r="Z19" i="10"/>
  <c r="AA19" i="10" s="1"/>
  <c r="AB18" i="10"/>
  <c r="AC17" i="10"/>
  <c r="AN16" i="10"/>
  <c r="AO16" i="10" s="1"/>
  <c r="AL17" i="10"/>
  <c r="AM17" i="10" s="1"/>
  <c r="C26" i="10" l="1"/>
  <c r="D29" i="10" s="1"/>
  <c r="B29" i="10"/>
  <c r="D22" i="10"/>
  <c r="E21" i="10"/>
  <c r="N22" i="10"/>
  <c r="O22" i="10" s="1"/>
  <c r="M23" i="10"/>
  <c r="P20" i="10"/>
  <c r="Q19" i="10"/>
  <c r="G21" i="10"/>
  <c r="H20" i="10"/>
  <c r="I20" i="10" s="1"/>
  <c r="K17" i="10"/>
  <c r="J18" i="10"/>
  <c r="AH17" i="10"/>
  <c r="AI16" i="10"/>
  <c r="AE20" i="10"/>
  <c r="AF19" i="10"/>
  <c r="AG19" i="10" s="1"/>
  <c r="S19" i="10"/>
  <c r="T18" i="10"/>
  <c r="U18" i="10" s="1"/>
  <c r="V18" i="10" s="1"/>
  <c r="W18" i="10" s="1"/>
  <c r="AU18" i="10"/>
  <c r="AV17" i="10"/>
  <c r="AR20" i="10"/>
  <c r="AS19" i="10"/>
  <c r="AT19" i="10" s="1"/>
  <c r="AB19" i="10"/>
  <c r="AC18" i="10"/>
  <c r="Y21" i="10"/>
  <c r="Z20" i="10"/>
  <c r="AA20" i="10" s="1"/>
  <c r="AN17" i="10"/>
  <c r="AO17" i="10" s="1"/>
  <c r="AL18" i="10"/>
  <c r="AM18" i="10" s="1"/>
  <c r="D23" i="10" l="1"/>
  <c r="E22" i="10"/>
  <c r="P21" i="10"/>
  <c r="Q20" i="10"/>
  <c r="M24" i="10"/>
  <c r="N23" i="10"/>
  <c r="O23" i="10" s="1"/>
  <c r="J19" i="10"/>
  <c r="K18" i="10"/>
  <c r="G22" i="10"/>
  <c r="H21" i="10"/>
  <c r="I21" i="10" s="1"/>
  <c r="AE21" i="10"/>
  <c r="AF20" i="10"/>
  <c r="AG20" i="10" s="1"/>
  <c r="AI17" i="10"/>
  <c r="AH18" i="10"/>
  <c r="S20" i="10"/>
  <c r="T19" i="10"/>
  <c r="U19" i="10" s="1"/>
  <c r="V19" i="10" s="1"/>
  <c r="W19" i="10" s="1"/>
  <c r="AR21" i="10"/>
  <c r="AS20" i="10"/>
  <c r="AT20" i="10" s="1"/>
  <c r="AU19" i="10"/>
  <c r="AV18" i="10"/>
  <c r="Y22" i="10"/>
  <c r="Z21" i="10"/>
  <c r="AA21" i="10" s="1"/>
  <c r="AB20" i="10"/>
  <c r="AC19" i="10"/>
  <c r="AN18" i="10"/>
  <c r="AO18" i="10" s="1"/>
  <c r="AL19" i="10"/>
  <c r="AM19" i="10" s="1"/>
  <c r="D24" i="10" l="1"/>
  <c r="E23" i="10"/>
  <c r="M25" i="10"/>
  <c r="N24" i="10"/>
  <c r="O24" i="10" s="1"/>
  <c r="P22" i="10"/>
  <c r="Q21" i="10"/>
  <c r="G23" i="10"/>
  <c r="H22" i="10"/>
  <c r="I22" i="10" s="1"/>
  <c r="J20" i="10"/>
  <c r="K19" i="10"/>
  <c r="AH19" i="10"/>
  <c r="AI18" i="10"/>
  <c r="AE22" i="10"/>
  <c r="AF21" i="10"/>
  <c r="AG21" i="10" s="1"/>
  <c r="S21" i="10"/>
  <c r="T20" i="10"/>
  <c r="U20" i="10" s="1"/>
  <c r="V20" i="10" s="1"/>
  <c r="W20" i="10" s="1"/>
  <c r="AU20" i="10"/>
  <c r="AV19" i="10"/>
  <c r="AS21" i="10"/>
  <c r="AT21" i="10" s="1"/>
  <c r="AR22" i="10"/>
  <c r="AC20" i="10"/>
  <c r="AB21" i="10"/>
  <c r="Y23" i="10"/>
  <c r="Z22" i="10"/>
  <c r="AA22" i="10" s="1"/>
  <c r="AN19" i="10"/>
  <c r="AO19" i="10" s="1"/>
  <c r="AL20" i="10"/>
  <c r="AM20" i="10" s="1"/>
  <c r="AN20" i="10" l="1"/>
  <c r="AO20" i="10" s="1"/>
  <c r="D25" i="10"/>
  <c r="E24" i="10"/>
  <c r="P23" i="10"/>
  <c r="Q22" i="10"/>
  <c r="M26" i="10"/>
  <c r="N26" i="10" s="1"/>
  <c r="N25" i="10"/>
  <c r="O25" i="10" s="1"/>
  <c r="J21" i="10"/>
  <c r="K20" i="10"/>
  <c r="H23" i="10"/>
  <c r="I23" i="10" s="1"/>
  <c r="G24" i="10"/>
  <c r="AE23" i="10"/>
  <c r="AF22" i="10"/>
  <c r="AG22" i="10" s="1"/>
  <c r="AH20" i="10"/>
  <c r="AI19" i="10"/>
  <c r="S22" i="10"/>
  <c r="T21" i="10"/>
  <c r="U21" i="10" s="1"/>
  <c r="V21" i="10" s="1"/>
  <c r="W21" i="10" s="1"/>
  <c r="AR23" i="10"/>
  <c r="AS22" i="10"/>
  <c r="AT22" i="10" s="1"/>
  <c r="AU21" i="10"/>
  <c r="AV20" i="10"/>
  <c r="Y24" i="10"/>
  <c r="Z23" i="10"/>
  <c r="AA23" i="10" s="1"/>
  <c r="AB22" i="10"/>
  <c r="AC21" i="10"/>
  <c r="AL21" i="10"/>
  <c r="AM21" i="10" s="1"/>
  <c r="D26" i="10" l="1"/>
  <c r="E26" i="10" s="1"/>
  <c r="E25" i="10"/>
  <c r="O26" i="10"/>
  <c r="N29" i="10"/>
  <c r="P24" i="10"/>
  <c r="Q23" i="10"/>
  <c r="G25" i="10"/>
  <c r="H24" i="10"/>
  <c r="I24" i="10" s="1"/>
  <c r="J22" i="10"/>
  <c r="K21" i="10"/>
  <c r="AH21" i="10"/>
  <c r="AI20" i="10"/>
  <c r="AE24" i="10"/>
  <c r="AF23" i="10"/>
  <c r="AG23" i="10" s="1"/>
  <c r="S23" i="10"/>
  <c r="T22" i="10"/>
  <c r="U22" i="10" s="1"/>
  <c r="V22" i="10" s="1"/>
  <c r="W22" i="10" s="1"/>
  <c r="AU22" i="10"/>
  <c r="AV21" i="10"/>
  <c r="AR24" i="10"/>
  <c r="AS23" i="10"/>
  <c r="AT23" i="10" s="1"/>
  <c r="AB23" i="10"/>
  <c r="AC22" i="10"/>
  <c r="Y25" i="10"/>
  <c r="Z24" i="10"/>
  <c r="AA24" i="10" s="1"/>
  <c r="AN21" i="10"/>
  <c r="AO21" i="10" s="1"/>
  <c r="AL22" i="10"/>
  <c r="AM22" i="10" s="1"/>
  <c r="E29" i="10" l="1"/>
  <c r="P25" i="10"/>
  <c r="Q24" i="10"/>
  <c r="J23" i="10"/>
  <c r="K22" i="10"/>
  <c r="G26" i="10"/>
  <c r="H25" i="10"/>
  <c r="I25" i="10" s="1"/>
  <c r="AE25" i="10"/>
  <c r="AF24" i="10"/>
  <c r="AG24" i="10" s="1"/>
  <c r="AH22" i="10"/>
  <c r="AI21" i="10"/>
  <c r="S24" i="10"/>
  <c r="T23" i="10"/>
  <c r="U23" i="10" s="1"/>
  <c r="V23" i="10" s="1"/>
  <c r="W23" i="10" s="1"/>
  <c r="AR25" i="10"/>
  <c r="AS24" i="10"/>
  <c r="AT24" i="10" s="1"/>
  <c r="AV22" i="10"/>
  <c r="AU23" i="10"/>
  <c r="Y26" i="10"/>
  <c r="AP34" i="10" s="1"/>
  <c r="Z25" i="10"/>
  <c r="AA25" i="10" s="1"/>
  <c r="AB24" i="10"/>
  <c r="AC23" i="10"/>
  <c r="AN22" i="10"/>
  <c r="AO22" i="10" s="1"/>
  <c r="AL23" i="10"/>
  <c r="AM23" i="10" s="1"/>
  <c r="H26" i="10" l="1"/>
  <c r="H29" i="10" s="1"/>
  <c r="I29" i="10"/>
  <c r="P26" i="10"/>
  <c r="Q25" i="10"/>
  <c r="I26" i="10"/>
  <c r="J29" i="10" s="1"/>
  <c r="J24" i="10"/>
  <c r="K23" i="10"/>
  <c r="AH23" i="10"/>
  <c r="AI22" i="10"/>
  <c r="AE26" i="10"/>
  <c r="AF26" i="10" s="1"/>
  <c r="AF25" i="10"/>
  <c r="AG25" i="10" s="1"/>
  <c r="S25" i="10"/>
  <c r="T24" i="10"/>
  <c r="U24" i="10" s="1"/>
  <c r="V24" i="10" s="1"/>
  <c r="W24" i="10" s="1"/>
  <c r="AU24" i="10"/>
  <c r="AV23" i="10"/>
  <c r="AR26" i="10"/>
  <c r="AS25" i="10"/>
  <c r="AT25" i="10" s="1"/>
  <c r="AB25" i="10"/>
  <c r="AC24" i="10"/>
  <c r="Z26" i="10"/>
  <c r="AN23" i="10"/>
  <c r="AO23" i="10" s="1"/>
  <c r="AL24" i="10"/>
  <c r="AM24" i="10" s="1"/>
  <c r="Q26" i="10" l="1"/>
  <c r="Q29" i="10" s="1"/>
  <c r="P29" i="10"/>
  <c r="J25" i="10"/>
  <c r="K24" i="10"/>
  <c r="AG26" i="10"/>
  <c r="AF29" i="10"/>
  <c r="AH24" i="10"/>
  <c r="AI23" i="10"/>
  <c r="AA26" i="10"/>
  <c r="Z29" i="10"/>
  <c r="S26" i="10"/>
  <c r="T26" i="10" s="1"/>
  <c r="T25" i="10"/>
  <c r="U25" i="10" s="1"/>
  <c r="V25" i="10" s="1"/>
  <c r="W25" i="10" s="1"/>
  <c r="AS26" i="10"/>
  <c r="AU25" i="10"/>
  <c r="AV24" i="10"/>
  <c r="AC25" i="10"/>
  <c r="AN24" i="10"/>
  <c r="AO24" i="10" s="1"/>
  <c r="AL25" i="10"/>
  <c r="AM25" i="10" s="1"/>
  <c r="J26" i="10" l="1"/>
  <c r="K25" i="10"/>
  <c r="AH25" i="10"/>
  <c r="AI24" i="10"/>
  <c r="AT26" i="10"/>
  <c r="AS29" i="10"/>
  <c r="T29" i="10"/>
  <c r="U26" i="10"/>
  <c r="V26" i="10" s="1"/>
  <c r="AU26" i="10"/>
  <c r="AV25" i="10"/>
  <c r="AC26" i="10"/>
  <c r="AC29" i="10" s="1"/>
  <c r="AB29" i="10"/>
  <c r="AN25" i="10"/>
  <c r="AO25" i="10" s="1"/>
  <c r="AL26" i="10"/>
  <c r="K26" i="10" l="1"/>
  <c r="K29" i="10" s="1"/>
  <c r="AI25" i="10"/>
  <c r="AI29" i="10" s="1"/>
  <c r="AH29" i="10"/>
  <c r="W26" i="10"/>
  <c r="W29" i="10" s="1"/>
  <c r="V29" i="10"/>
  <c r="AM26" i="10"/>
  <c r="AN26" i="10" s="1"/>
  <c r="AO26" i="10" s="1"/>
  <c r="AO29" i="10" s="1"/>
  <c r="AL29" i="10"/>
  <c r="AV26" i="10"/>
  <c r="AV29" i="10" s="1"/>
  <c r="AU29" i="10"/>
  <c r="AN29" i="10" l="1"/>
  <c r="S138" i="12"/>
  <c r="S134" i="12"/>
  <c r="U134" i="12" s="1"/>
  <c r="S135" i="12"/>
  <c r="U135" i="12" s="1"/>
  <c r="N168" i="12"/>
  <c r="M168" i="12"/>
  <c r="Q168" i="12" s="1"/>
  <c r="S136" i="12"/>
  <c r="U136" i="12" s="1"/>
  <c r="S137" i="12"/>
  <c r="U137" i="12" s="1"/>
  <c r="P168" i="12" l="1"/>
  <c r="R168" i="12" s="1"/>
  <c r="O187" i="12" s="1"/>
  <c r="S168" i="12" l="1"/>
  <c r="P187" i="12"/>
  <c r="P188" i="12" s="1"/>
  <c r="O188" i="12"/>
</calcChain>
</file>

<file path=xl/connections.xml><?xml version="1.0" encoding="utf-8"?>
<connections xmlns="http://schemas.openxmlformats.org/spreadsheetml/2006/main">
  <connection id="1" name="Connection1" type="4" refreshedVersion="5" background="1" saveData="1">
    <webPr sourceData="1" parsePre="1" consecutive="1" xl2000="1" url="https://docs.google.com/spreadsheets/d/e/2PACX-1vRH32ZNxf4GSemMiZbcKVK1OsNGPr5tott0zC7q-5Iwkys05JT-evK9L8p78_IAHV5FXvpl4dO2JNCP/pubhtml"/>
  </connection>
  <connection id="2"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name="WorksheetConnection_Gestão de Patrimonio.xlsm!controle" type="102" refreshedVersion="5" minRefreshableVersion="5">
    <extLst>
      <ext xmlns:x15="http://schemas.microsoft.com/office/spreadsheetml/2010/11/main" uri="{DE250136-89BD-433C-8126-D09CA5730AF9}">
        <x15:connection id="controle-17bc8fb9-20ad-4caa-915e-ee0a12ba6b40">
          <x15:rangePr sourceName="_xlcn.WorksheetConnection_GestãodePatrimonio.xlsmcontrole1"/>
        </x15:connection>
      </ext>
    </extLst>
  </connection>
  <connection id="4" name="WorksheetConnection_Gestão de Patrimonio.xlsm!fundo" type="102" refreshedVersion="5" minRefreshableVersion="5">
    <extLst>
      <ext xmlns:x15="http://schemas.microsoft.com/office/spreadsheetml/2010/11/main" uri="{DE250136-89BD-433C-8126-D09CA5730AF9}">
        <x15:connection id="fundo-83724c7c-7729-4423-a56d-eda5933db3af">
          <x15:rangePr sourceName="_xlcn.WorksheetConnection_GestãodePatrimonio.xlsmfundo1"/>
        </x15:connection>
      </ext>
    </extLst>
  </connection>
  <connection id="5" name="WorksheetConnection_TABELA EM CONSTRUÇÃO.xlsx!ações" type="102" refreshedVersion="5" minRefreshableVersion="5">
    <extLst>
      <ext xmlns:x15="http://schemas.microsoft.com/office/spreadsheetml/2010/11/main" uri="{DE250136-89BD-433C-8126-D09CA5730AF9}">
        <x15:connection id="ações-81665955-e764-43b7-a37a-364aff8bb4f4">
          <x15:rangePr sourceName="_xlcn.WorksheetConnection_TABELAEMCONSTRUÇÃO.xlsxações1"/>
        </x15:connection>
      </ext>
    </extLst>
  </connection>
</connections>
</file>

<file path=xl/sharedStrings.xml><?xml version="1.0" encoding="utf-8"?>
<sst xmlns="http://schemas.openxmlformats.org/spreadsheetml/2006/main" count="1252" uniqueCount="137">
  <si>
    <t>BIDI4F</t>
  </si>
  <si>
    <t>MRVE3F</t>
  </si>
  <si>
    <t>IRBR3F</t>
  </si>
  <si>
    <t>ITSA4F</t>
  </si>
  <si>
    <t>TIPO</t>
  </si>
  <si>
    <t>VALOR</t>
  </si>
  <si>
    <t>TOTAL</t>
  </si>
  <si>
    <t>INTER</t>
  </si>
  <si>
    <t>AÇÃO</t>
  </si>
  <si>
    <t>QNTD</t>
  </si>
  <si>
    <t>PREÇO</t>
  </si>
  <si>
    <t>TAXAS</t>
  </si>
  <si>
    <t>WIZS3F</t>
  </si>
  <si>
    <t xml:space="preserve"> </t>
  </si>
  <si>
    <t>JCP</t>
  </si>
  <si>
    <t>MAR</t>
  </si>
  <si>
    <t>ABR</t>
  </si>
  <si>
    <t>MAI</t>
  </si>
  <si>
    <t>MES</t>
  </si>
  <si>
    <t>GGBR3F</t>
  </si>
  <si>
    <t>ITUB4F</t>
  </si>
  <si>
    <t>NU BANK</t>
  </si>
  <si>
    <t>CSNA3F</t>
  </si>
  <si>
    <t>COTAÇÃO</t>
  </si>
  <si>
    <t>JHSF3F</t>
  </si>
  <si>
    <t>SAAG11</t>
  </si>
  <si>
    <t>BCFF11</t>
  </si>
  <si>
    <t>YIELD</t>
  </si>
  <si>
    <t>MGFF11</t>
  </si>
  <si>
    <t>CVBI11</t>
  </si>
  <si>
    <t>IRDM11</t>
  </si>
  <si>
    <t>CUSTO</t>
  </si>
  <si>
    <t>DEVIDEND</t>
  </si>
  <si>
    <t>MXRF11</t>
  </si>
  <si>
    <t>NSLU11</t>
  </si>
  <si>
    <t>ACADEMIA</t>
  </si>
  <si>
    <t>BOLETO</t>
  </si>
  <si>
    <t>TIM</t>
  </si>
  <si>
    <t>USIM5F</t>
  </si>
  <si>
    <t>RECT11</t>
  </si>
  <si>
    <t>FUNDO</t>
  </si>
  <si>
    <t>SAPR4F</t>
  </si>
  <si>
    <t>SELL</t>
  </si>
  <si>
    <t>CMIG4F</t>
  </si>
  <si>
    <t>MAE</t>
  </si>
  <si>
    <t>GABRIEL</t>
  </si>
  <si>
    <t>TRANSFER</t>
  </si>
  <si>
    <t>MATHEUS</t>
  </si>
  <si>
    <t>ROMI3F</t>
  </si>
  <si>
    <t>RBVA11</t>
  </si>
  <si>
    <t>Column Labels</t>
  </si>
  <si>
    <t>Sum of VALOR</t>
  </si>
  <si>
    <t>mar</t>
  </si>
  <si>
    <t>abr</t>
  </si>
  <si>
    <t>mai</t>
  </si>
  <si>
    <t>OPERAÇÃO</t>
  </si>
  <si>
    <t>Row Labels</t>
  </si>
  <si>
    <t>PATRIMONIO</t>
  </si>
  <si>
    <t>DATA COM</t>
  </si>
  <si>
    <t>DATA EX</t>
  </si>
  <si>
    <t>MEIO</t>
  </si>
  <si>
    <t>DAYTRADE</t>
  </si>
  <si>
    <t>Grand Total</t>
  </si>
  <si>
    <t>TESOURO</t>
  </si>
  <si>
    <t>LIQUIDADO</t>
  </si>
  <si>
    <t xml:space="preserve">TAXAS </t>
  </si>
  <si>
    <t>FATURAMENTO</t>
  </si>
  <si>
    <t>DATA</t>
  </si>
  <si>
    <t>COMPRA</t>
  </si>
  <si>
    <t>VENDA</t>
  </si>
  <si>
    <t>P. MEDIO</t>
  </si>
  <si>
    <t>GASTO</t>
  </si>
  <si>
    <t>MERCADO</t>
  </si>
  <si>
    <t>RESULTADO</t>
  </si>
  <si>
    <t>&lt;&lt; calculado</t>
  </si>
  <si>
    <t>&lt;&lt; na conta</t>
  </si>
  <si>
    <t>N/A</t>
  </si>
  <si>
    <t>REND</t>
  </si>
  <si>
    <t>AÇÕES</t>
  </si>
  <si>
    <t>PAYMENT</t>
  </si>
  <si>
    <t>%</t>
  </si>
  <si>
    <t>KLBN11F</t>
  </si>
  <si>
    <t>HFOF11</t>
  </si>
  <si>
    <t>JUN</t>
  </si>
  <si>
    <t>USIM5</t>
  </si>
  <si>
    <t>ITUB4</t>
  </si>
  <si>
    <t>jun</t>
  </si>
  <si>
    <t>SELIC</t>
  </si>
  <si>
    <t>STBP3F</t>
  </si>
  <si>
    <t>EMBR3F</t>
  </si>
  <si>
    <t>Planilha sem título : Página1</t>
  </si>
  <si>
    <t>CODIGO</t>
  </si>
  <si>
    <t>LEN()</t>
  </si>
  <si>
    <t>BRKM5F</t>
  </si>
  <si>
    <t>BRKM5</t>
  </si>
  <si>
    <t>CMIG4</t>
  </si>
  <si>
    <t>CSNA3</t>
  </si>
  <si>
    <t>EMBR3</t>
  </si>
  <si>
    <t>IRBR3</t>
  </si>
  <si>
    <t>ITSA4</t>
  </si>
  <si>
    <t>JHSF3</t>
  </si>
  <si>
    <t>KLBN11</t>
  </si>
  <si>
    <t>MRVE3</t>
  </si>
  <si>
    <t>ROMI3</t>
  </si>
  <si>
    <t>SAPR4</t>
  </si>
  <si>
    <t>STBP3</t>
  </si>
  <si>
    <t>TESOUR</t>
  </si>
  <si>
    <t>WIZS3</t>
  </si>
  <si>
    <t>Published by Google Sheets–Denunciar abuso–5Atualizado automaticamente a cada minutos</t>
  </si>
  <si>
    <t>ANALISANDO</t>
  </si>
  <si>
    <t>Resultado</t>
  </si>
  <si>
    <t>Rendimento</t>
  </si>
  <si>
    <t>Rend. Cota</t>
  </si>
  <si>
    <t>Resul. Cota</t>
  </si>
  <si>
    <t>Periodo</t>
  </si>
  <si>
    <t>Fundo</t>
  </si>
  <si>
    <t>Qntd. Cotas</t>
  </si>
  <si>
    <t/>
  </si>
  <si>
    <t>XPPR11</t>
  </si>
  <si>
    <t xml:space="preserve"> Resultado</t>
  </si>
  <si>
    <t xml:space="preserve"> Rendimento</t>
  </si>
  <si>
    <t xml:space="preserve"> Qntd. Cotas</t>
  </si>
  <si>
    <t>%Yield</t>
  </si>
  <si>
    <t xml:space="preserve"> Rend. Cota</t>
  </si>
  <si>
    <t>HABT11</t>
  </si>
  <si>
    <t>UBSR11</t>
  </si>
  <si>
    <t>Previsão</t>
  </si>
  <si>
    <t>Pagamento</t>
  </si>
  <si>
    <t>Prev. Pag.</t>
  </si>
  <si>
    <t>Md Rend</t>
  </si>
  <si>
    <t>Carteria</t>
  </si>
  <si>
    <t>P/VPA</t>
  </si>
  <si>
    <t>Cotação</t>
  </si>
  <si>
    <t>JUL</t>
  </si>
  <si>
    <t>jul</t>
  </si>
  <si>
    <t>SMLS3F</t>
  </si>
  <si>
    <t>SMLS3</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</si>
</sst>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R$&quot;\ * #,##0.00_-;\-&quot;R$&quot;\ * #,##0.00_-;_-&quot;R$&quot;\ * &quot;-&quot;??_-;_-@_-"/>
    <numFmt numFmtId="43" formatCode="_-* #,##0.00_-;\-* #,##0.00_-;_-* &quot;-&quot;??_-;_-@_-"/>
    <numFmt numFmtId="164" formatCode="_-[$R$-416]\ * #,##0.00_-;\-[$R$-416]\ * #,##0.00_-;_-[$R$-416]\ * &quot;-&quot;??_-;_-@_-"/>
    <numFmt numFmtId="165" formatCode="0.0"/>
    <numFmt numFmtId="166" formatCode="[$-416]mmm\-yy;@"/>
    <numFmt numFmtId="167" formatCode="[$-416]mmm\-\a\a;@"/>
    <numFmt numFmtId="168" formatCode="_-* #,##0_-;\-* #,##0_-;_-* &quot;-&quot;??_-;_-@_-"/>
  </numFmts>
  <fonts count="24" x14ac:knownFonts="1">
    <font>
      <sz val="11"/>
      <color theme="1"/>
      <name val="Calibri"/>
      <family val="2"/>
      <scheme val="minor"/>
    </font>
    <font>
      <sz val="11"/>
      <color theme="1"/>
      <name val="Calibri"/>
      <family val="2"/>
      <scheme val="minor"/>
    </font>
    <font>
      <sz val="11"/>
      <color theme="0"/>
      <name val="Calibri"/>
      <family val="2"/>
      <scheme val="minor"/>
    </font>
    <font>
      <sz val="11"/>
      <color theme="0"/>
      <name val="Calibri"/>
      <family val="2"/>
      <scheme val="minor"/>
    </font>
    <font>
      <sz val="18"/>
      <color theme="0"/>
      <name val="Calibri"/>
      <family val="2"/>
      <scheme val="minor"/>
    </font>
    <font>
      <sz val="18"/>
      <color theme="9"/>
      <name val="Calibri"/>
      <family val="2"/>
      <scheme val="minor"/>
    </font>
    <font>
      <sz val="11"/>
      <color theme="9"/>
      <name val="Calibri"/>
      <family val="2"/>
      <scheme val="minor"/>
    </font>
    <font>
      <sz val="11"/>
      <color theme="0"/>
      <name val="Calibri"/>
      <family val="2"/>
      <scheme val="minor"/>
    </font>
    <font>
      <sz val="11"/>
      <color theme="0"/>
      <name val="Calibri"/>
      <family val="2"/>
      <scheme val="minor"/>
    </font>
    <font>
      <sz val="11"/>
      <color rgb="FFFF0000"/>
      <name val="Calibri"/>
      <family val="2"/>
      <scheme val="minor"/>
    </font>
    <font>
      <b/>
      <sz val="11"/>
      <color theme="0"/>
      <name val="Calibri"/>
      <family val="2"/>
      <scheme val="minor"/>
    </font>
    <font>
      <b/>
      <sz val="11"/>
      <color theme="0"/>
      <name val="Calibri"/>
      <family val="2"/>
      <scheme val="minor"/>
    </font>
    <font>
      <sz val="11"/>
      <color rgb="FFFFFFFF"/>
      <name val="Calibri"/>
      <family val="2"/>
    </font>
    <font>
      <sz val="11"/>
      <color rgb="FFFFFFFF"/>
      <name val="Calibri"/>
      <family val="2"/>
    </font>
    <font>
      <sz val="11"/>
      <color theme="0"/>
      <name val="Calibri"/>
      <family val="2"/>
      <scheme val="minor"/>
    </font>
    <font>
      <b/>
      <sz val="11"/>
      <color theme="0"/>
      <name val="Calibri"/>
      <family val="2"/>
      <scheme val="minor"/>
    </font>
    <font>
      <b/>
      <sz val="27"/>
      <color rgb="FFD1D4DC"/>
      <name val="Trebuchet MS"/>
      <family val="2"/>
    </font>
    <font>
      <sz val="14"/>
      <color theme="0"/>
      <name val="Calibri"/>
      <family val="2"/>
      <scheme val="minor"/>
    </font>
    <font>
      <b/>
      <sz val="11"/>
      <color theme="1"/>
      <name val="Calibri"/>
      <family val="2"/>
      <scheme val="minor"/>
    </font>
    <font>
      <sz val="11"/>
      <color theme="0"/>
      <name val="Calibri"/>
      <scheme val="minor"/>
    </font>
    <font>
      <sz val="10"/>
      <color theme="1"/>
      <name val="Calibri"/>
      <family val="2"/>
      <scheme val="minor"/>
    </font>
    <font>
      <b/>
      <sz val="10"/>
      <color theme="9"/>
      <name val="Calibri"/>
      <family val="2"/>
      <scheme val="minor"/>
    </font>
    <font>
      <sz val="10"/>
      <color theme="0"/>
      <name val="Calibri"/>
      <family val="2"/>
      <scheme val="minor"/>
    </font>
    <font>
      <b/>
      <sz val="11"/>
      <color theme="0"/>
      <name val="Calibri"/>
      <scheme val="minor"/>
    </font>
  </fonts>
  <fills count="6">
    <fill>
      <patternFill patternType="none"/>
    </fill>
    <fill>
      <patternFill patternType="gray125"/>
    </fill>
    <fill>
      <patternFill patternType="solid">
        <fgColor theme="1"/>
        <bgColor indexed="64"/>
      </patternFill>
    </fill>
    <fill>
      <patternFill patternType="solid">
        <fgColor theme="2" tint="-0.749992370372631"/>
        <bgColor indexed="64"/>
      </patternFill>
    </fill>
    <fill>
      <patternFill patternType="solid">
        <fgColor rgb="FF535151"/>
        <bgColor indexed="64"/>
      </patternFill>
    </fill>
    <fill>
      <patternFill patternType="solid">
        <fgColor rgb="FF000000"/>
        <bgColor rgb="FF000000"/>
      </patternFill>
    </fill>
  </fills>
  <borders count="15">
    <border>
      <left/>
      <right/>
      <top/>
      <bottom/>
      <diagonal/>
    </border>
    <border>
      <left/>
      <right style="thin">
        <color theme="9"/>
      </right>
      <top/>
      <bottom/>
      <diagonal/>
    </border>
    <border>
      <left style="thin">
        <color theme="9"/>
      </left>
      <right style="thin">
        <color theme="9"/>
      </right>
      <top style="thin">
        <color theme="9"/>
      </top>
      <bottom style="thin">
        <color theme="9"/>
      </bottom>
      <diagonal/>
    </border>
    <border>
      <left style="thin">
        <color theme="9"/>
      </left>
      <right style="thin">
        <color theme="9"/>
      </right>
      <top style="thin">
        <color theme="9"/>
      </top>
      <bottom style="medium">
        <color theme="9"/>
      </bottom>
      <diagonal/>
    </border>
    <border>
      <left style="thin">
        <color theme="9"/>
      </left>
      <right/>
      <top style="thin">
        <color theme="9"/>
      </top>
      <bottom style="thin">
        <color theme="9"/>
      </bottom>
      <diagonal/>
    </border>
    <border>
      <left/>
      <right style="thin">
        <color theme="9"/>
      </right>
      <top style="thin">
        <color theme="9"/>
      </top>
      <bottom style="thin">
        <color theme="9"/>
      </bottom>
      <diagonal/>
    </border>
    <border>
      <left/>
      <right style="thin">
        <color theme="9"/>
      </right>
      <top/>
      <bottom style="medium">
        <color theme="9"/>
      </bottom>
      <diagonal/>
    </border>
    <border>
      <left style="thin">
        <color theme="9"/>
      </left>
      <right style="thin">
        <color theme="9"/>
      </right>
      <top/>
      <bottom style="medium">
        <color theme="9"/>
      </bottom>
      <diagonal/>
    </border>
    <border>
      <left style="thin">
        <color theme="9"/>
      </left>
      <right/>
      <top/>
      <bottom style="medium">
        <color theme="9"/>
      </bottom>
      <diagonal/>
    </border>
    <border>
      <left style="thin">
        <color theme="9"/>
      </left>
      <right/>
      <top style="thin">
        <color theme="9"/>
      </top>
      <bottom/>
      <diagonal/>
    </border>
    <border>
      <left style="thin">
        <color theme="9"/>
      </left>
      <right style="thin">
        <color theme="9"/>
      </right>
      <top style="thin">
        <color theme="9"/>
      </top>
      <bottom/>
      <diagonal/>
    </border>
    <border>
      <left/>
      <right style="thin">
        <color theme="9"/>
      </right>
      <top style="thin">
        <color theme="9"/>
      </top>
      <bottom/>
      <diagonal/>
    </border>
    <border>
      <left style="thin">
        <color theme="9"/>
      </left>
      <right style="thin">
        <color theme="9"/>
      </right>
      <top/>
      <bottom style="thin">
        <color theme="9"/>
      </bottom>
      <diagonal/>
    </border>
    <border>
      <left/>
      <right style="thin">
        <color theme="9"/>
      </right>
      <top/>
      <bottom style="thin">
        <color theme="9"/>
      </bottom>
      <diagonal/>
    </border>
    <border>
      <left style="thin">
        <color theme="9"/>
      </left>
      <right/>
      <top/>
      <bottom style="thin">
        <color theme="9"/>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49">
    <xf numFmtId="0" fontId="0" fillId="0" borderId="0" xfId="0"/>
    <xf numFmtId="0" fontId="2" fillId="2" borderId="0" xfId="0" applyFont="1" applyFill="1" applyAlignment="1">
      <alignment horizontal="center" vertical="center"/>
    </xf>
    <xf numFmtId="0" fontId="2" fillId="2" borderId="0" xfId="0" applyNumberFormat="1" applyFont="1" applyFill="1" applyAlignment="1">
      <alignment horizontal="center" vertical="center"/>
    </xf>
    <xf numFmtId="164" fontId="2" fillId="2" borderId="0" xfId="0" applyNumberFormat="1" applyFont="1" applyFill="1" applyAlignment="1">
      <alignment horizontal="center" vertical="center"/>
    </xf>
    <xf numFmtId="0" fontId="4" fillId="2" borderId="0" xfId="0" applyFont="1" applyFill="1" applyAlignment="1">
      <alignment horizontal="center" vertical="center"/>
    </xf>
    <xf numFmtId="2" fontId="2" fillId="2" borderId="0" xfId="0" applyNumberFormat="1" applyFont="1" applyFill="1" applyAlignment="1">
      <alignment horizontal="center" vertical="center"/>
    </xf>
    <xf numFmtId="165" fontId="2" fillId="2" borderId="0" xfId="0" applyNumberFormat="1" applyFont="1" applyFill="1" applyAlignment="1">
      <alignment horizontal="center" vertical="center"/>
    </xf>
    <xf numFmtId="1" fontId="2" fillId="2" borderId="0" xfId="0" applyNumberFormat="1" applyFont="1" applyFill="1" applyAlignment="1">
      <alignment horizontal="center" vertical="center"/>
    </xf>
    <xf numFmtId="0" fontId="5" fillId="2" borderId="0" xfId="0" applyFont="1" applyFill="1" applyAlignment="1">
      <alignment horizontal="center" vertical="center"/>
    </xf>
    <xf numFmtId="0" fontId="6" fillId="2" borderId="0" xfId="0" applyFont="1" applyFill="1" applyAlignment="1">
      <alignment horizontal="center" vertical="center"/>
    </xf>
    <xf numFmtId="0" fontId="6" fillId="2" borderId="0" xfId="0" applyNumberFormat="1" applyFont="1" applyFill="1" applyAlignment="1">
      <alignment horizontal="center" vertical="center"/>
    </xf>
    <xf numFmtId="2" fontId="6" fillId="2" borderId="0" xfId="0" applyNumberFormat="1" applyFont="1" applyFill="1" applyAlignment="1">
      <alignment horizontal="center" vertical="center"/>
    </xf>
    <xf numFmtId="165" fontId="6" fillId="2" borderId="0" xfId="0" applyNumberFormat="1" applyFont="1" applyFill="1" applyAlignment="1">
      <alignment horizontal="center" vertical="center"/>
    </xf>
    <xf numFmtId="1" fontId="6" fillId="2" borderId="0" xfId="0" applyNumberFormat="1" applyFont="1" applyFill="1" applyAlignment="1">
      <alignment horizontal="center" vertical="center"/>
    </xf>
    <xf numFmtId="164" fontId="6" fillId="2" borderId="0" xfId="0" applyNumberFormat="1" applyFont="1" applyFill="1" applyAlignment="1">
      <alignment horizontal="center" vertical="center"/>
    </xf>
    <xf numFmtId="0" fontId="2" fillId="0" borderId="0" xfId="0" applyFont="1" applyFill="1" applyAlignment="1">
      <alignment horizontal="center" vertical="center"/>
    </xf>
    <xf numFmtId="16" fontId="2" fillId="0" borderId="0" xfId="0" applyNumberFormat="1" applyFont="1" applyFill="1" applyAlignment="1">
      <alignment horizontal="center" vertical="center"/>
    </xf>
    <xf numFmtId="16" fontId="8" fillId="0" borderId="0" xfId="0" applyNumberFormat="1" applyFont="1" applyFill="1" applyAlignment="1">
      <alignment horizontal="center" vertical="center"/>
    </xf>
    <xf numFmtId="0" fontId="8" fillId="0" borderId="0" xfId="0" applyFont="1" applyFill="1" applyAlignment="1">
      <alignment horizontal="center" vertical="center"/>
    </xf>
    <xf numFmtId="16" fontId="3" fillId="0" borderId="0" xfId="0" applyNumberFormat="1" applyFont="1" applyFill="1" applyAlignment="1">
      <alignment horizontal="center" vertical="center"/>
    </xf>
    <xf numFmtId="0" fontId="3" fillId="0" borderId="0" xfId="0" applyFont="1" applyFill="1" applyAlignment="1">
      <alignment horizontal="center" vertical="center"/>
    </xf>
    <xf numFmtId="16" fontId="7" fillId="0" borderId="0" xfId="0" applyNumberFormat="1" applyFont="1" applyFill="1" applyAlignment="1">
      <alignment horizontal="center" vertical="center"/>
    </xf>
    <xf numFmtId="0" fontId="7" fillId="0" borderId="0" xfId="0" applyFont="1" applyFill="1" applyAlignment="1">
      <alignment horizontal="center" vertical="center"/>
    </xf>
    <xf numFmtId="16" fontId="2" fillId="0" borderId="0" xfId="0" applyNumberFormat="1" applyFont="1" applyFill="1" applyBorder="1" applyAlignment="1">
      <alignment horizontal="center" vertical="center"/>
    </xf>
    <xf numFmtId="0" fontId="0" fillId="0" borderId="0" xfId="0" applyFill="1"/>
    <xf numFmtId="44" fontId="2" fillId="0" borderId="0" xfId="1" applyFont="1" applyFill="1" applyAlignment="1">
      <alignment horizontal="center" vertical="center"/>
    </xf>
    <xf numFmtId="44" fontId="3" fillId="0" borderId="0" xfId="1" applyFont="1" applyFill="1" applyAlignment="1">
      <alignment horizontal="center" vertical="center"/>
    </xf>
    <xf numFmtId="44" fontId="7" fillId="0" borderId="0" xfId="1" applyFont="1" applyFill="1" applyAlignment="1">
      <alignment horizontal="center" vertical="center"/>
    </xf>
    <xf numFmtId="44" fontId="8" fillId="0" borderId="0" xfId="1" applyFont="1" applyFill="1" applyAlignment="1">
      <alignment horizontal="center" vertical="center"/>
    </xf>
    <xf numFmtId="0" fontId="2" fillId="0" borderId="0" xfId="0" applyFont="1" applyFill="1" applyBorder="1" applyAlignment="1">
      <alignment horizontal="center" vertical="center"/>
    </xf>
    <xf numFmtId="164" fontId="2" fillId="0" borderId="0" xfId="0" applyNumberFormat="1" applyFont="1" applyFill="1" applyBorder="1" applyAlignment="1">
      <alignment horizontal="center" vertical="center"/>
    </xf>
    <xf numFmtId="1" fontId="2" fillId="0" borderId="0" xfId="0" applyNumberFormat="1" applyFont="1" applyFill="1" applyBorder="1" applyAlignment="1">
      <alignment horizontal="center" vertical="center"/>
    </xf>
    <xf numFmtId="0" fontId="0" fillId="0" borderId="0" xfId="0" pivotButton="1"/>
    <xf numFmtId="16" fontId="0" fillId="0" borderId="0" xfId="0" applyNumberFormat="1" applyAlignment="1">
      <alignment horizontal="left"/>
    </xf>
    <xf numFmtId="44" fontId="0" fillId="0" borderId="0" xfId="0" applyNumberFormat="1"/>
    <xf numFmtId="44" fontId="2" fillId="0" borderId="0" xfId="1" applyFont="1" applyFill="1" applyBorder="1" applyAlignment="1">
      <alignment horizontal="center" vertical="center"/>
    </xf>
    <xf numFmtId="0" fontId="0" fillId="0" borderId="0" xfId="0" applyNumberFormat="1"/>
    <xf numFmtId="0" fontId="9" fillId="0" borderId="0" xfId="0" applyFont="1"/>
    <xf numFmtId="44" fontId="9" fillId="0" borderId="0" xfId="1" applyFont="1"/>
    <xf numFmtId="0" fontId="2" fillId="2" borderId="0" xfId="0" applyFont="1" applyFill="1" applyAlignment="1">
      <alignment horizontal="center"/>
    </xf>
    <xf numFmtId="164" fontId="2" fillId="2" borderId="0" xfId="0" applyNumberFormat="1" applyFont="1" applyFill="1" applyAlignment="1">
      <alignment horizontal="center"/>
    </xf>
    <xf numFmtId="0" fontId="2" fillId="3" borderId="0" xfId="0" applyFont="1" applyFill="1" applyAlignment="1">
      <alignment horizontal="center"/>
    </xf>
    <xf numFmtId="164" fontId="2" fillId="3" borderId="0" xfId="0" applyNumberFormat="1" applyFont="1" applyFill="1" applyAlignment="1">
      <alignment horizontal="center"/>
    </xf>
    <xf numFmtId="9" fontId="2" fillId="3" borderId="1" xfId="2" applyFont="1" applyFill="1" applyBorder="1" applyAlignment="1">
      <alignment horizontal="center"/>
    </xf>
    <xf numFmtId="0" fontId="2" fillId="2" borderId="0" xfId="0" applyFont="1" applyFill="1" applyAlignment="1">
      <alignment horizontal="center" vertical="top"/>
    </xf>
    <xf numFmtId="0" fontId="8" fillId="2" borderId="0" xfId="0" applyFont="1" applyFill="1" applyAlignment="1">
      <alignment horizontal="center" vertical="top"/>
    </xf>
    <xf numFmtId="0" fontId="8" fillId="2" borderId="0" xfId="0" applyNumberFormat="1" applyFont="1" applyFill="1" applyAlignment="1">
      <alignment horizontal="center"/>
    </xf>
    <xf numFmtId="164" fontId="8" fillId="2" borderId="0" xfId="0" applyNumberFormat="1" applyFont="1" applyFill="1" applyAlignment="1">
      <alignment horizontal="center" vertical="center"/>
    </xf>
    <xf numFmtId="16" fontId="8" fillId="0" borderId="0" xfId="0" applyNumberFormat="1" applyFont="1" applyFill="1" applyBorder="1" applyAlignment="1">
      <alignment horizontal="center" vertical="center"/>
    </xf>
    <xf numFmtId="0" fontId="8" fillId="0" borderId="0" xfId="0" applyFont="1" applyFill="1" applyBorder="1" applyAlignment="1">
      <alignment horizontal="center" vertical="center"/>
    </xf>
    <xf numFmtId="44" fontId="8" fillId="0" borderId="0" xfId="1" applyFont="1" applyFill="1" applyBorder="1" applyAlignment="1">
      <alignment horizontal="center" vertical="center"/>
    </xf>
    <xf numFmtId="44" fontId="8" fillId="0" borderId="0" xfId="1" applyNumberFormat="1" applyFont="1" applyFill="1" applyAlignment="1">
      <alignment horizontal="center" vertical="center"/>
    </xf>
    <xf numFmtId="44" fontId="10" fillId="2" borderId="0" xfId="1" applyFont="1" applyFill="1" applyAlignment="1">
      <alignment horizontal="center"/>
    </xf>
    <xf numFmtId="44" fontId="10" fillId="2" borderId="1" xfId="1" applyFont="1" applyFill="1" applyBorder="1" applyAlignment="1">
      <alignment horizontal="center"/>
    </xf>
    <xf numFmtId="44" fontId="10" fillId="2" borderId="0" xfId="1" applyNumberFormat="1" applyFont="1" applyFill="1" applyAlignment="1">
      <alignment horizontal="center"/>
    </xf>
    <xf numFmtId="44" fontId="10" fillId="2" borderId="1" xfId="1" applyNumberFormat="1" applyFont="1" applyFill="1" applyBorder="1" applyAlignment="1">
      <alignment horizontal="center"/>
    </xf>
    <xf numFmtId="44" fontId="11" fillId="2" borderId="0" xfId="1" applyNumberFormat="1" applyFont="1" applyFill="1" applyAlignment="1">
      <alignment horizontal="center"/>
    </xf>
    <xf numFmtId="44" fontId="11" fillId="2" borderId="0" xfId="1" applyFont="1" applyFill="1" applyAlignment="1">
      <alignment horizontal="center"/>
    </xf>
    <xf numFmtId="44" fontId="11" fillId="2" borderId="1" xfId="1" applyNumberFormat="1" applyFont="1" applyFill="1" applyBorder="1" applyAlignment="1">
      <alignment horizontal="center"/>
    </xf>
    <xf numFmtId="164" fontId="2" fillId="4" borderId="0" xfId="0" applyNumberFormat="1" applyFont="1" applyFill="1" applyAlignment="1">
      <alignment horizontal="center"/>
    </xf>
    <xf numFmtId="9" fontId="12" fillId="5" borderId="0" xfId="2" applyFont="1" applyFill="1" applyAlignment="1">
      <alignment horizontal="center"/>
    </xf>
    <xf numFmtId="9" fontId="13" fillId="5" borderId="0" xfId="2" applyNumberFormat="1" applyFont="1" applyFill="1" applyAlignment="1">
      <alignment horizontal="center"/>
    </xf>
    <xf numFmtId="44" fontId="2" fillId="0" borderId="0" xfId="1" applyNumberFormat="1" applyFont="1" applyFill="1" applyAlignment="1">
      <alignment horizontal="center" vertical="center"/>
    </xf>
    <xf numFmtId="9" fontId="9" fillId="0" borderId="0" xfId="2" applyFont="1"/>
    <xf numFmtId="164" fontId="9" fillId="2" borderId="2" xfId="0" applyNumberFormat="1" applyFont="1" applyFill="1" applyBorder="1"/>
    <xf numFmtId="164" fontId="6" fillId="2" borderId="2" xfId="0" applyNumberFormat="1" applyFont="1" applyFill="1" applyBorder="1"/>
    <xf numFmtId="44" fontId="9" fillId="0" borderId="0" xfId="0" applyNumberFormat="1" applyFont="1"/>
    <xf numFmtId="16" fontId="14" fillId="0" borderId="0" xfId="0" applyNumberFormat="1" applyFont="1" applyFill="1" applyAlignment="1">
      <alignment horizontal="center" vertical="center"/>
    </xf>
    <xf numFmtId="0" fontId="14" fillId="0" borderId="0" xfId="0" applyFont="1" applyFill="1" applyAlignment="1">
      <alignment horizontal="center" vertical="center"/>
    </xf>
    <xf numFmtId="44" fontId="14" fillId="0" borderId="0" xfId="1" applyFont="1" applyFill="1" applyAlignment="1">
      <alignment horizontal="center" vertical="center"/>
    </xf>
    <xf numFmtId="44" fontId="14" fillId="0" borderId="0" xfId="1" applyNumberFormat="1" applyFont="1" applyFill="1" applyAlignment="1">
      <alignment horizontal="center" vertical="center"/>
    </xf>
    <xf numFmtId="0" fontId="14" fillId="2" borderId="0" xfId="0" applyFont="1" applyFill="1" applyAlignment="1">
      <alignment horizontal="center" vertical="top"/>
    </xf>
    <xf numFmtId="0" fontId="14" fillId="2" borderId="0" xfId="0" applyNumberFormat="1" applyFont="1" applyFill="1" applyAlignment="1">
      <alignment horizontal="center"/>
    </xf>
    <xf numFmtId="164" fontId="14" fillId="2" borderId="0" xfId="0" applyNumberFormat="1" applyFont="1" applyFill="1" applyAlignment="1">
      <alignment horizontal="center" vertical="center"/>
    </xf>
    <xf numFmtId="44" fontId="15" fillId="2" borderId="0" xfId="1" applyNumberFormat="1" applyFont="1" applyFill="1" applyAlignment="1">
      <alignment horizontal="center"/>
    </xf>
    <xf numFmtId="44" fontId="15" fillId="2" borderId="0" xfId="1" applyFont="1" applyFill="1" applyAlignment="1">
      <alignment horizontal="center"/>
    </xf>
    <xf numFmtId="44" fontId="15" fillId="2" borderId="1" xfId="1" applyNumberFormat="1" applyFont="1" applyFill="1" applyBorder="1" applyAlignment="1">
      <alignment horizontal="center"/>
    </xf>
    <xf numFmtId="9" fontId="9" fillId="0" borderId="0" xfId="2" applyNumberFormat="1" applyFont="1"/>
    <xf numFmtId="164" fontId="9" fillId="0" borderId="0" xfId="0" applyNumberFormat="1" applyFont="1"/>
    <xf numFmtId="165" fontId="9" fillId="0" borderId="0" xfId="0" applyNumberFormat="1" applyFont="1"/>
    <xf numFmtId="0" fontId="16" fillId="0" borderId="0" xfId="0" applyFont="1"/>
    <xf numFmtId="0" fontId="2" fillId="0" borderId="0" xfId="0" applyFont="1"/>
    <xf numFmtId="166" fontId="10" fillId="2" borderId="3" xfId="3" applyNumberFormat="1" applyFont="1" applyFill="1" applyBorder="1" applyAlignment="1">
      <alignment horizontal="center" vertical="center"/>
    </xf>
    <xf numFmtId="43" fontId="2" fillId="2" borderId="2" xfId="3" applyFont="1" applyFill="1" applyBorder="1" applyAlignment="1">
      <alignment horizontal="center" vertical="center"/>
    </xf>
    <xf numFmtId="166" fontId="10" fillId="2" borderId="6" xfId="3" applyNumberFormat="1" applyFont="1" applyFill="1" applyBorder="1" applyAlignment="1">
      <alignment horizontal="center" vertical="center"/>
    </xf>
    <xf numFmtId="166" fontId="10" fillId="2" borderId="7" xfId="3" applyNumberFormat="1" applyFont="1" applyFill="1" applyBorder="1" applyAlignment="1">
      <alignment horizontal="center" vertical="center"/>
    </xf>
    <xf numFmtId="166" fontId="10" fillId="2" borderId="8" xfId="3" applyNumberFormat="1" applyFont="1" applyFill="1" applyBorder="1" applyAlignment="1">
      <alignment horizontal="center" vertical="center"/>
    </xf>
    <xf numFmtId="43" fontId="2" fillId="2" borderId="5" xfId="3" applyFont="1" applyFill="1" applyBorder="1" applyAlignment="1">
      <alignment horizontal="center" vertical="center"/>
    </xf>
    <xf numFmtId="43" fontId="2" fillId="2" borderId="4" xfId="3" applyFont="1" applyFill="1" applyBorder="1" applyAlignment="1">
      <alignment horizontal="center" vertical="center"/>
    </xf>
    <xf numFmtId="43" fontId="2" fillId="0" borderId="0" xfId="3" applyFont="1" applyAlignment="1">
      <alignment horizontal="center" vertical="center"/>
    </xf>
    <xf numFmtId="166" fontId="2" fillId="0" borderId="0" xfId="3" applyNumberFormat="1" applyFont="1" applyAlignment="1">
      <alignment horizontal="center" vertical="center"/>
    </xf>
    <xf numFmtId="0" fontId="2" fillId="0" borderId="0" xfId="0" pivotButton="1" applyFont="1" applyAlignment="1">
      <alignment horizontal="center" vertical="center"/>
    </xf>
    <xf numFmtId="0" fontId="2" fillId="0" borderId="0" xfId="0" applyFont="1" applyAlignment="1">
      <alignment horizontal="center" vertical="center"/>
    </xf>
    <xf numFmtId="43" fontId="2" fillId="0" borderId="0" xfId="0" applyNumberFormat="1" applyFont="1" applyAlignment="1">
      <alignment horizontal="center" vertical="center"/>
    </xf>
    <xf numFmtId="0" fontId="0" fillId="0" borderId="0" xfId="0" applyAlignment="1">
      <alignment horizontal="center" vertical="center"/>
    </xf>
    <xf numFmtId="166" fontId="2" fillId="0" borderId="0" xfId="0" applyNumberFormat="1" applyFont="1" applyAlignment="1">
      <alignment horizontal="center" vertical="center"/>
    </xf>
    <xf numFmtId="44" fontId="17" fillId="0" borderId="0" xfId="1" applyFont="1"/>
    <xf numFmtId="43" fontId="2" fillId="0" borderId="0" xfId="3" applyFont="1" applyBorder="1" applyAlignment="1">
      <alignment horizontal="center" vertical="center"/>
    </xf>
    <xf numFmtId="43" fontId="2" fillId="0" borderId="0" xfId="3" applyFont="1" applyBorder="1" applyAlignment="1">
      <alignment vertical="center"/>
    </xf>
    <xf numFmtId="43" fontId="2" fillId="2" borderId="10" xfId="3" applyFont="1" applyFill="1" applyBorder="1" applyAlignment="1">
      <alignment horizontal="center" vertical="center"/>
    </xf>
    <xf numFmtId="43" fontId="2" fillId="2" borderId="9" xfId="3" applyFont="1" applyFill="1" applyBorder="1" applyAlignment="1">
      <alignment horizontal="center" vertical="center"/>
    </xf>
    <xf numFmtId="43" fontId="19" fillId="2" borderId="5" xfId="3" applyFont="1" applyFill="1" applyBorder="1" applyAlignment="1">
      <alignment horizontal="center" vertical="center"/>
    </xf>
    <xf numFmtId="43" fontId="19" fillId="2" borderId="2" xfId="3" applyFont="1" applyFill="1" applyBorder="1" applyAlignment="1">
      <alignment horizontal="center" vertical="center"/>
    </xf>
    <xf numFmtId="43" fontId="19" fillId="2" borderId="4" xfId="3" applyFont="1" applyFill="1" applyBorder="1" applyAlignment="1">
      <alignment horizontal="center" vertical="center"/>
    </xf>
    <xf numFmtId="43" fontId="19" fillId="2" borderId="10" xfId="3" applyFont="1" applyFill="1" applyBorder="1" applyAlignment="1">
      <alignment horizontal="center" vertical="center"/>
    </xf>
    <xf numFmtId="43" fontId="19" fillId="2" borderId="9" xfId="3" applyFont="1" applyFill="1" applyBorder="1" applyAlignment="1">
      <alignment horizontal="center" vertical="center"/>
    </xf>
    <xf numFmtId="167" fontId="19" fillId="2" borderId="2" xfId="3" applyNumberFormat="1" applyFont="1" applyFill="1" applyBorder="1" applyAlignment="1">
      <alignment horizontal="center" vertical="center"/>
    </xf>
    <xf numFmtId="167" fontId="19" fillId="2" borderId="10" xfId="3" applyNumberFormat="1" applyFont="1" applyFill="1" applyBorder="1" applyAlignment="1">
      <alignment horizontal="center" vertical="center"/>
    </xf>
    <xf numFmtId="44" fontId="20" fillId="0" borderId="0" xfId="0" applyNumberFormat="1" applyFont="1"/>
    <xf numFmtId="0" fontId="20" fillId="0" borderId="0" xfId="0" pivotButton="1" applyFont="1"/>
    <xf numFmtId="0" fontId="20" fillId="0" borderId="0" xfId="0" applyFont="1"/>
    <xf numFmtId="0" fontId="20" fillId="0" borderId="0" xfId="0" applyFont="1" applyAlignment="1">
      <alignment horizontal="left"/>
    </xf>
    <xf numFmtId="0" fontId="21" fillId="2" borderId="2" xfId="0" applyFont="1" applyFill="1" applyBorder="1"/>
    <xf numFmtId="44" fontId="22" fillId="2" borderId="2" xfId="3" applyNumberFormat="1" applyFont="1" applyFill="1" applyBorder="1"/>
    <xf numFmtId="168" fontId="20" fillId="0" borderId="0" xfId="0" applyNumberFormat="1" applyFont="1"/>
    <xf numFmtId="0" fontId="18" fillId="0" borderId="0" xfId="0" applyFont="1" applyAlignment="1">
      <alignment horizontal="left"/>
    </xf>
    <xf numFmtId="168" fontId="18" fillId="0" borderId="0" xfId="0" applyNumberFormat="1" applyFont="1"/>
    <xf numFmtId="44" fontId="18" fillId="0" borderId="0" xfId="0" applyNumberFormat="1" applyFont="1"/>
    <xf numFmtId="0" fontId="0" fillId="0" borderId="0" xfId="0" applyFont="1" applyAlignment="1">
      <alignment horizontal="left"/>
    </xf>
    <xf numFmtId="168" fontId="0" fillId="0" borderId="0" xfId="0" applyNumberFormat="1" applyFont="1"/>
    <xf numFmtId="44" fontId="0" fillId="0" borderId="0" xfId="0" applyNumberFormat="1" applyFont="1"/>
    <xf numFmtId="44" fontId="2" fillId="2" borderId="2" xfId="3" applyNumberFormat="1" applyFont="1" applyFill="1" applyBorder="1"/>
    <xf numFmtId="10" fontId="2" fillId="2" borderId="2" xfId="2" applyNumberFormat="1" applyFont="1" applyFill="1" applyBorder="1"/>
    <xf numFmtId="0" fontId="2" fillId="2" borderId="0" xfId="0" applyNumberFormat="1" applyFont="1" applyFill="1" applyAlignment="1">
      <alignment horizontal="center"/>
    </xf>
    <xf numFmtId="44" fontId="2" fillId="2" borderId="5" xfId="3" applyNumberFormat="1" applyFont="1" applyFill="1" applyBorder="1"/>
    <xf numFmtId="44" fontId="2" fillId="2" borderId="4" xfId="3" applyNumberFormat="1" applyFont="1" applyFill="1" applyBorder="1"/>
    <xf numFmtId="0" fontId="21" fillId="2" borderId="13" xfId="0" applyFont="1" applyFill="1" applyBorder="1"/>
    <xf numFmtId="0" fontId="21" fillId="2" borderId="12" xfId="0" applyFont="1" applyFill="1" applyBorder="1"/>
    <xf numFmtId="0" fontId="21" fillId="2" borderId="14" xfId="0" applyFont="1" applyFill="1" applyBorder="1"/>
    <xf numFmtId="44" fontId="2" fillId="2" borderId="11" xfId="3" applyNumberFormat="1" applyFont="1" applyFill="1" applyBorder="1"/>
    <xf numFmtId="44" fontId="2" fillId="2" borderId="10" xfId="3" applyNumberFormat="1" applyFont="1" applyFill="1" applyBorder="1"/>
    <xf numFmtId="44" fontId="2" fillId="2" borderId="9" xfId="3" applyNumberFormat="1" applyFont="1" applyFill="1" applyBorder="1"/>
    <xf numFmtId="44" fontId="2" fillId="2" borderId="9" xfId="0" applyNumberFormat="1" applyFont="1" applyFill="1" applyBorder="1"/>
    <xf numFmtId="10" fontId="2" fillId="2" borderId="10" xfId="0" applyNumberFormat="1" applyFont="1" applyFill="1" applyBorder="1"/>
    <xf numFmtId="44" fontId="2" fillId="2" borderId="11" xfId="0" applyNumberFormat="1" applyFont="1" applyFill="1" applyBorder="1"/>
    <xf numFmtId="44" fontId="2" fillId="2" borderId="10" xfId="0" applyNumberFormat="1" applyFont="1" applyFill="1" applyBorder="1"/>
    <xf numFmtId="2" fontId="19" fillId="2" borderId="2" xfId="3" applyNumberFormat="1" applyFont="1" applyFill="1" applyBorder="1" applyAlignment="1">
      <alignment horizontal="center" vertical="center"/>
    </xf>
    <xf numFmtId="2" fontId="19" fillId="2" borderId="12" xfId="3" applyNumberFormat="1" applyFont="1" applyFill="1" applyBorder="1" applyAlignment="1">
      <alignment horizontal="center" vertical="center"/>
    </xf>
    <xf numFmtId="44" fontId="9" fillId="0" borderId="0" xfId="1" applyFont="1" applyAlignment="1">
      <alignment horizontal="center" vertical="center"/>
    </xf>
    <xf numFmtId="16" fontId="19" fillId="0" borderId="0" xfId="0" applyNumberFormat="1" applyFont="1" applyFill="1" applyAlignment="1">
      <alignment horizontal="center" vertical="center"/>
    </xf>
    <xf numFmtId="0" fontId="19" fillId="0" borderId="0" xfId="0" applyFont="1" applyFill="1" applyAlignment="1">
      <alignment horizontal="center" vertical="center"/>
    </xf>
    <xf numFmtId="44" fontId="19" fillId="0" borderId="0" xfId="1" applyFont="1" applyFill="1" applyAlignment="1">
      <alignment horizontal="center" vertical="center"/>
    </xf>
    <xf numFmtId="44" fontId="19" fillId="0" borderId="0" xfId="1" applyNumberFormat="1" applyFont="1" applyFill="1" applyAlignment="1">
      <alignment horizontal="center" vertical="center"/>
    </xf>
    <xf numFmtId="0" fontId="19" fillId="2" borderId="0" xfId="0" applyFont="1" applyFill="1" applyAlignment="1">
      <alignment horizontal="center" vertical="top"/>
    </xf>
    <xf numFmtId="0" fontId="19" fillId="2" borderId="0" xfId="0" applyNumberFormat="1" applyFont="1" applyFill="1" applyAlignment="1">
      <alignment horizontal="center"/>
    </xf>
    <xf numFmtId="164" fontId="19" fillId="2" borderId="0" xfId="0" applyNumberFormat="1" applyFont="1" applyFill="1" applyAlignment="1">
      <alignment horizontal="center" vertical="center"/>
    </xf>
    <xf numFmtId="44" fontId="23" fillId="2" borderId="0" xfId="1" applyNumberFormat="1" applyFont="1" applyFill="1" applyAlignment="1">
      <alignment horizontal="center"/>
    </xf>
    <xf numFmtId="44" fontId="23" fillId="2" borderId="0" xfId="1" applyFont="1" applyFill="1" applyAlignment="1">
      <alignment horizontal="center"/>
    </xf>
    <xf numFmtId="44" fontId="23" fillId="2" borderId="1" xfId="1" applyNumberFormat="1" applyFont="1" applyFill="1" applyBorder="1" applyAlignment="1">
      <alignment horizontal="center"/>
    </xf>
  </cellXfs>
  <cellStyles count="4">
    <cellStyle name="Comma" xfId="3" builtinId="3"/>
    <cellStyle name="Currency" xfId="1" builtinId="4"/>
    <cellStyle name="Normal" xfId="0" builtinId="0"/>
    <cellStyle name="Percent" xfId="2" builtinId="5"/>
  </cellStyles>
  <dxfs count="143">
    <dxf>
      <font>
        <strike val="0"/>
        <outline val="0"/>
        <shadow val="0"/>
        <u val="none"/>
        <vertAlign val="baseline"/>
        <sz val="11"/>
        <color theme="0"/>
        <name val="Calibri"/>
        <scheme val="minor"/>
      </font>
      <numFmt numFmtId="34" formatCode="_-&quot;R$&quot;\ * #,##0.00_-;\-&quot;R$&quot;\ * #,##0.00_-;_-&quot;R$&quot;\ *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numFmt numFmtId="21" formatCode="dd/mmm"/>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numFmt numFmtId="21" formatCode="dd/mmm"/>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numFmt numFmtId="21" formatCode="dd/mmm"/>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numFmt numFmtId="21" formatCode="dd/mmm"/>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rgb="FFFFFFFF"/>
        <name val="Calibri"/>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numFmt numFmtId="167" formatCode="[$-416]mmm\-\a\a;@"/>
      <fill>
        <patternFill patternType="solid">
          <fgColor indexed="64"/>
          <bgColor theme="1"/>
        </patternFill>
      </fill>
      <alignment horizontal="center" vertical="center" textRotation="0" wrapText="0" indent="0" justifyLastLine="0" shrinkToFit="0" readingOrder="0"/>
      <border diagonalUp="0" diagonalDown="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9"/>
        </left>
        <right/>
        <top style="thin">
          <color theme="9"/>
        </top>
        <bottom style="thin">
          <color theme="9"/>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theme="9"/>
        </left>
        <right style="thin">
          <color theme="9"/>
        </right>
        <top style="thin">
          <color theme="9"/>
        </top>
        <bottom style="thin">
          <color theme="9"/>
        </bottom>
      </border>
    </dxf>
    <dxf>
      <font>
        <b/>
        <i val="0"/>
        <strike val="0"/>
        <condense val="0"/>
        <extend val="0"/>
        <outline val="0"/>
        <shadow val="0"/>
        <u val="none"/>
        <vertAlign val="baseline"/>
        <sz val="11"/>
        <color theme="0"/>
        <name val="Calibri"/>
        <scheme val="minor"/>
      </font>
      <numFmt numFmtId="166" formatCode="[$-416]mmm\-yy;@"/>
      <fill>
        <patternFill patternType="solid">
          <fgColor indexed="64"/>
          <bgColor theme="1"/>
        </patternFill>
      </fill>
      <alignment horizontal="center" vertical="center" textRotation="0" wrapText="0" indent="0" justifyLastLine="0" shrinkToFit="0" readingOrder="0"/>
      <border diagonalUp="0" diagonalDown="0" outline="0">
        <left style="thin">
          <color theme="9"/>
        </left>
        <right style="thin">
          <color theme="9"/>
        </right>
        <top style="thin">
          <color theme="9"/>
        </top>
        <bottom style="medium">
          <color theme="9"/>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border diagonalUp="0" diagonalDown="0" outline="0">
        <left/>
        <right style="thin">
          <color theme="9"/>
        </right>
        <top style="thin">
          <color theme="9"/>
        </top>
        <bottom style="thin">
          <color theme="9"/>
        </bottom>
      </border>
    </dxf>
    <dxf>
      <border outline="0">
        <top style="thin">
          <color theme="9"/>
        </top>
      </border>
    </dxf>
    <dxf>
      <border outline="0">
        <left style="thin">
          <color theme="9"/>
        </left>
        <right style="thin">
          <color theme="9"/>
        </right>
        <top style="thin">
          <color theme="9"/>
        </top>
      </border>
    </dxf>
    <dxf>
      <font>
        <b val="0"/>
        <i val="0"/>
        <strike val="0"/>
        <condense val="0"/>
        <extend val="0"/>
        <outline val="0"/>
        <shadow val="0"/>
        <u val="none"/>
        <vertAlign val="baseline"/>
        <sz val="11"/>
        <color theme="0"/>
        <name val="Calibri"/>
        <scheme val="minor"/>
      </font>
      <numFmt numFmtId="167" formatCode="[$-416]mmm\-\a\a;@"/>
      <fill>
        <patternFill patternType="solid">
          <fgColor indexed="64"/>
          <bgColor theme="1"/>
        </patternFill>
      </fill>
      <alignment horizontal="center" vertical="center" textRotation="0" wrapText="0" indent="0" justifyLastLine="0" shrinkToFit="0" readingOrder="0"/>
    </dxf>
    <dxf>
      <border outline="0">
        <bottom style="medium">
          <color theme="9"/>
        </bottom>
      </border>
    </dxf>
    <dxf>
      <font>
        <b/>
        <i val="0"/>
        <strike val="0"/>
        <condense val="0"/>
        <extend val="0"/>
        <outline val="0"/>
        <shadow val="0"/>
        <u val="none"/>
        <vertAlign val="baseline"/>
        <sz val="11"/>
        <color theme="0"/>
        <name val="Calibri"/>
        <scheme val="minor"/>
      </font>
      <numFmt numFmtId="166" formatCode="[$-416]mmm\-yy;@"/>
      <fill>
        <patternFill patternType="solid">
          <fgColor indexed="64"/>
          <bgColor theme="1"/>
        </patternFill>
      </fill>
      <alignment horizontal="center" vertical="center" textRotation="0" wrapText="0" indent="0" justifyLastLine="0" shrinkToFit="0" readingOrder="0"/>
      <border diagonalUp="0" diagonalDown="0" outline="0">
        <left style="thin">
          <color theme="9"/>
        </left>
        <right style="thin">
          <color theme="9"/>
        </right>
        <top/>
        <bottom/>
      </border>
    </dxf>
    <dxf>
      <numFmt numFmtId="34" formatCode="_-&quot;R$&quot;\ * #,##0.00_-;\-&quot;R$&quot;\ * #,##0.00_-;_-&quot;R$&quot;\ * &quot;-&quot;??_-;_-@_-"/>
    </dxf>
    <dxf>
      <font>
        <sz val="10"/>
      </font>
    </dxf>
    <dxf>
      <font>
        <sz val="10"/>
      </font>
    </dxf>
    <dxf>
      <font>
        <sz val="10"/>
      </font>
    </dxf>
    <dxf>
      <font>
        <sz val="10"/>
      </font>
    </dxf>
    <dxf>
      <font>
        <sz val="10"/>
      </font>
    </dxf>
    <dxf>
      <font>
        <sz val="10"/>
      </font>
    </dxf>
    <dxf>
      <numFmt numFmtId="168" formatCode="_-* #,##0_-;\-* #,##0_-;_-* &quot;-&quot;??_-;_-@_-"/>
    </dxf>
    <dxf>
      <numFmt numFmtId="34" formatCode="_-&quot;R$&quot;\ * #,##0.00_-;\-&quot;R$&quot;\ * #,##0.00_-;_-&quot;R$&quot;\ * &quot;-&quot;??_-;_-@_-"/>
    </dxf>
    <dxf>
      <numFmt numFmtId="35" formatCode="_-* #,##0.00_-;\-* #,##0.00_-;_-* &quot;-&quot;??_-;_-@_-"/>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horizontal="general"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numFmt numFmtId="35" formatCode="_-* #,##0.00_-;\-* #,##0.00_-;_-* &quot;-&quot;??_-;_-@_-"/>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border diagonalUp="0" diagonalDown="0" outline="0">
        <left style="thin">
          <color theme="9"/>
        </left>
        <right/>
        <top style="thin">
          <color theme="9"/>
        </top>
        <bottom/>
      </border>
    </dxf>
    <dxf>
      <font>
        <b val="0"/>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border diagonalUp="0" diagonalDown="0">
        <left style="thin">
          <color theme="9"/>
        </left>
        <right/>
        <top style="thin">
          <color theme="9"/>
        </top>
        <bottom style="thin">
          <color theme="9"/>
        </bottom>
        <vertical/>
        <horizontal/>
      </border>
    </dxf>
    <dxf>
      <font>
        <b val="0"/>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border diagonalUp="0" diagonalDown="0" outline="0">
        <left style="thin">
          <color theme="9"/>
        </left>
        <right style="thin">
          <color theme="9"/>
        </right>
        <top style="thin">
          <color theme="9"/>
        </top>
        <bottom/>
      </border>
    </dxf>
    <dxf>
      <font>
        <b val="0"/>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border diagonalUp="0" diagonalDown="0">
        <left style="thin">
          <color theme="9"/>
        </left>
        <right style="thin">
          <color theme="9"/>
        </right>
        <top style="thin">
          <color theme="9"/>
        </top>
        <bottom style="thin">
          <color theme="9"/>
        </bottom>
        <vertical/>
        <horizontal/>
      </border>
    </dxf>
    <dxf>
      <font>
        <b val="0"/>
        <i val="0"/>
        <strike val="0"/>
        <condense val="0"/>
        <extend val="0"/>
        <outline val="0"/>
        <shadow val="0"/>
        <u val="none"/>
        <vertAlign val="baseline"/>
        <sz val="11"/>
        <color theme="0"/>
        <name val="Calibri"/>
        <scheme val="minor"/>
      </font>
      <numFmt numFmtId="14" formatCode="0.00%"/>
      <fill>
        <patternFill patternType="solid">
          <fgColor indexed="64"/>
          <bgColor theme="1"/>
        </patternFill>
      </fill>
      <border diagonalUp="0" diagonalDown="0" outline="0">
        <left style="thin">
          <color theme="9"/>
        </left>
        <right style="thin">
          <color theme="9"/>
        </right>
        <top style="thin">
          <color theme="9"/>
        </top>
        <bottom/>
      </border>
    </dxf>
    <dxf>
      <font>
        <b val="0"/>
        <i val="0"/>
        <strike val="0"/>
        <condense val="0"/>
        <extend val="0"/>
        <outline val="0"/>
        <shadow val="0"/>
        <u val="none"/>
        <vertAlign val="baseline"/>
        <sz val="11"/>
        <color theme="0"/>
        <name val="Calibri"/>
        <scheme val="minor"/>
      </font>
      <numFmt numFmtId="14" formatCode="0.00%"/>
      <fill>
        <patternFill patternType="solid">
          <fgColor indexed="64"/>
          <bgColor theme="1"/>
        </patternFill>
      </fill>
      <border diagonalUp="0" diagonalDown="0">
        <left style="thin">
          <color theme="9"/>
        </left>
        <right style="thin">
          <color theme="9"/>
        </right>
        <top style="thin">
          <color theme="9"/>
        </top>
        <bottom style="thin">
          <color theme="9"/>
        </bottom>
        <vertical/>
        <horizontal/>
      </border>
    </dxf>
    <dxf>
      <font>
        <b val="0"/>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border diagonalUp="0" diagonalDown="0" outline="0">
        <left/>
        <right style="thin">
          <color theme="9"/>
        </right>
        <top style="thin">
          <color theme="9"/>
        </top>
        <bottom/>
      </border>
    </dxf>
    <dxf>
      <numFmt numFmtId="34" formatCode="_-&quot;R$&quot;\ * #,##0.00_-;\-&quot;R$&quot;\ * #,##0.00_-;_-&quot;R$&quot;\ * &quot;-&quot;??_-;_-@_-"/>
    </dxf>
    <dxf>
      <border outline="0">
        <top style="thin">
          <color theme="9"/>
        </top>
      </border>
    </dxf>
    <dxf>
      <border outline="0">
        <left style="thin">
          <color theme="9"/>
        </left>
        <right style="thin">
          <color theme="9"/>
        </right>
        <top style="thin">
          <color theme="9"/>
        </top>
        <bottom style="thin">
          <color theme="9"/>
        </bottom>
      </border>
    </dxf>
    <dxf>
      <border outline="0">
        <bottom style="thin">
          <color theme="9"/>
        </bottom>
      </border>
    </dxf>
    <dxf>
      <font>
        <b/>
        <i val="0"/>
        <strike val="0"/>
        <condense val="0"/>
        <extend val="0"/>
        <outline val="0"/>
        <shadow val="0"/>
        <u val="none"/>
        <vertAlign val="baseline"/>
        <sz val="10"/>
        <color theme="9"/>
        <name val="Calibri"/>
        <scheme val="minor"/>
      </font>
      <fill>
        <patternFill patternType="solid">
          <fgColor indexed="64"/>
          <bgColor theme="1"/>
        </patternFill>
      </fill>
      <border diagonalUp="0" diagonalDown="0" outline="0">
        <left style="thin">
          <color theme="9"/>
        </left>
        <right style="thin">
          <color theme="9"/>
        </right>
        <top/>
        <bottom/>
      </border>
    </dxf>
    <dxf>
      <font>
        <b val="0"/>
        <i val="0"/>
        <strike val="0"/>
        <condense val="0"/>
        <extend val="0"/>
        <outline val="0"/>
        <shadow val="0"/>
        <u val="none"/>
        <vertAlign val="baseline"/>
        <sz val="11"/>
        <color rgb="FFFFFFFF"/>
        <name val="Calibri"/>
        <scheme val="none"/>
      </font>
      <numFmt numFmtId="13" formatCode="0%"/>
      <fill>
        <patternFill patternType="solid">
          <fgColor rgb="FF000000"/>
          <bgColor rgb="FF000000"/>
        </patternFill>
      </fill>
      <alignment horizontal="center" vertical="bottom" textRotation="0" wrapText="0" indent="0" justifyLastLine="0" shrinkToFit="0" readingOrder="0"/>
    </dxf>
    <dxf>
      <font>
        <strike val="0"/>
        <outline val="0"/>
        <shadow val="0"/>
        <u val="none"/>
        <vertAlign val="baseline"/>
        <sz val="11"/>
        <color rgb="FFFFFFFF"/>
        <name val="Calibri"/>
        <scheme val="none"/>
      </font>
      <numFmt numFmtId="13" formatCode="0%"/>
      <fill>
        <patternFill patternType="solid">
          <fgColor rgb="FF000000"/>
          <bgColor rgb="FF000000"/>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numFmt numFmtId="0" formatCode="General"/>
      <fill>
        <patternFill patternType="solid">
          <fgColor indexed="64"/>
          <bgColor theme="1"/>
        </patternFill>
      </fill>
      <alignment horizontal="center" vertical="bottom" textRotation="0" wrapText="0" indent="0" justifyLastLine="0" shrinkToFit="0" readingOrder="0"/>
      <border diagonalUp="0" diagonalDown="0" outline="0">
        <left/>
        <right style="thin">
          <color theme="9"/>
        </right>
        <top/>
        <bottom/>
      </border>
    </dxf>
    <dxf>
      <font>
        <b/>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alignment horizontal="center" vertical="bottom" textRotation="0" wrapText="0" indent="0" justifyLastLine="0" shrinkToFit="0" readingOrder="0"/>
      <border diagonalUp="0" diagonalDown="0" outline="0">
        <left/>
        <right style="thin">
          <color theme="9"/>
        </right>
        <top/>
        <bottom/>
      </border>
    </dxf>
    <dxf>
      <font>
        <b/>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bottom" textRotation="0" wrapText="0" indent="0" justifyLastLine="0" shrinkToFit="0" readingOrder="0"/>
    </dxf>
    <dxf>
      <font>
        <b/>
        <i val="0"/>
        <strike val="0"/>
        <condense val="0"/>
        <extend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alignment horizontal="center" vertical="bottom" textRotation="0" wrapText="0" indent="0" justifyLastLine="0" shrinkToFit="0" readingOrder="0"/>
    </dxf>
    <dxf>
      <font>
        <b/>
        <strike val="0"/>
        <outline val="0"/>
        <shadow val="0"/>
        <u val="none"/>
        <vertAlign val="baseline"/>
        <sz val="11"/>
        <color theme="0"/>
        <name val="Calibri"/>
        <scheme val="minor"/>
      </font>
      <numFmt numFmtId="34" formatCode="_-&quot;R$&quot;\ * #,##0.00_-;\-&quot;R$&quot;\ * #,##0.00_-;_-&quot;R$&quot;\ * &quot;-&quot;??_-;_-@_-"/>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minor"/>
      </font>
      <numFmt numFmtId="164" formatCode="_-[$R$-416]\ * #,##0.00_-;\-[$R$-416]\ * #,##0.00_-;_-[$R$-416]\ * &quot;-&quot;??_-;_-@_-"/>
      <fill>
        <patternFill patternType="solid">
          <fgColor indexed="64"/>
          <bgColor rgb="FF535151"/>
        </patternFill>
      </fill>
      <alignment horizontal="center" vertical="bottom" textRotation="0" wrapText="0" indent="0" justifyLastLine="0" shrinkToFit="0" readingOrder="0"/>
    </dxf>
    <dxf>
      <font>
        <strike val="0"/>
        <outline val="0"/>
        <shadow val="0"/>
        <u val="none"/>
        <vertAlign val="baseline"/>
        <sz val="11"/>
        <color theme="0"/>
        <name val="Calibri"/>
        <scheme val="minor"/>
      </font>
      <numFmt numFmtId="164" formatCode="_-[$R$-416]\ * #,##0.00_-;\-[$R$-416]\ * #,##0.00_-;_-[$R$-416]\ * &quot;-&quot;??_-;_-@_-"/>
      <fill>
        <patternFill patternType="solid">
          <fgColor indexed="64"/>
          <bgColor rgb="FF535151"/>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dxf>
    <dxf>
      <font>
        <strike val="0"/>
        <outline val="0"/>
        <shadow val="0"/>
        <u val="none"/>
        <vertAlign val="baseline"/>
        <sz val="11"/>
        <color theme="0"/>
        <name val="Calibri"/>
        <scheme val="minor"/>
      </font>
      <numFmt numFmtId="164" formatCode="_-[$R$-416]\ * #,##0.00_-;\-[$R$-416]\ * #,##0.00_-;_-[$R$-416]\ * &quot;-&quot;??_-;_-@_-"/>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bottom" textRotation="0" wrapText="0" indent="0" justifyLastLine="0" shrinkToFit="0" readingOrder="0"/>
    </dxf>
    <dxf>
      <font>
        <strike val="0"/>
        <outline val="0"/>
        <shadow val="0"/>
        <u val="none"/>
        <vertAlign val="baseline"/>
        <sz val="11"/>
        <color theme="0"/>
        <name val="Calibri"/>
        <scheme val="minor"/>
      </font>
      <numFmt numFmtId="0" formatCode="General"/>
      <fill>
        <patternFill patternType="solid">
          <fgColor indexed="64"/>
          <bgColor theme="1"/>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top" textRotation="0" wrapText="0" indent="0" justifyLastLine="0" shrinkToFit="0" readingOrder="0"/>
    </dxf>
    <dxf>
      <font>
        <strike val="0"/>
        <outline val="0"/>
        <shadow val="0"/>
        <u val="none"/>
        <vertAlign val="baseline"/>
        <sz val="11"/>
        <color theme="0"/>
        <name val="Calibri"/>
        <scheme val="minor"/>
      </font>
      <fill>
        <patternFill patternType="solid">
          <fgColor indexed="64"/>
          <bgColor theme="1"/>
        </patternFill>
      </fill>
      <alignment horizontal="center" vertical="top" textRotation="0" wrapText="0" indent="0" justifyLastLine="0" shrinkToFit="0" readingOrder="0"/>
    </dxf>
    <dxf>
      <font>
        <strike val="0"/>
        <outline val="0"/>
        <shadow val="0"/>
        <u val="none"/>
        <vertAlign val="baseline"/>
        <sz val="11"/>
        <color rgb="FFFFFFFF"/>
        <name val="Calibri"/>
        <scheme val="none"/>
      </font>
      <numFmt numFmtId="164" formatCode="_-[$R$-416]\ * #,##0.00_-;\-[$R$-416]\ * #,##0.00_-;_-[$R$-416]\ * &quot;-&quot;??_-;_-@_-"/>
      <fill>
        <patternFill patternType="solid">
          <fgColor rgb="FF000000"/>
          <bgColor rgb="FF000000"/>
        </patternFill>
      </fill>
      <alignment horizontal="center" vertical="bottom" textRotation="0" wrapText="0" indent="0" justifyLastLine="0" shrinkToFit="0" readingOrder="0"/>
    </dxf>
    <dxf>
      <font>
        <strike val="0"/>
        <outline val="0"/>
        <shadow val="0"/>
        <u val="none"/>
        <vertAlign val="baseline"/>
        <sz val="11"/>
        <color theme="0"/>
        <name val="Calibri"/>
        <scheme val="minor"/>
      </font>
      <numFmt numFmtId="164" formatCode="_-[$R$-416]\ * #,##0.00_-;\-[$R$-416]\ * #,##0.00_-;_-[$R$-416]\ * &quot;-&quot;??_-;_-@_-"/>
      <fill>
        <patternFill patternType="solid">
          <fgColor indexed="64"/>
          <bgColor theme="1"/>
        </patternFill>
      </fill>
      <alignment horizontal="center" vertical="bottom"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numFmt numFmtId="21" formatCode="dd/mmm"/>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numFmt numFmtId="21" formatCode="dd/mmm"/>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numFmt numFmtId="21" formatCode="dd/mmm"/>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dxf>
    <dxf>
      <font>
        <sz val="11"/>
      </font>
    </dxf>
    <dxf>
      <font>
        <sz val="11"/>
      </font>
    </dxf>
    <dxf>
      <font>
        <sz val="11"/>
      </font>
    </dxf>
    <dxf>
      <font>
        <sz val="11"/>
      </font>
    </dxf>
    <dxf>
      <font>
        <b/>
      </font>
    </dxf>
    <dxf>
      <font>
        <b/>
      </font>
    </dxf>
    <dxf>
      <numFmt numFmtId="34" formatCode="_-&quot;R$&quot;\ * #,##0.00_-;\-&quot;R$&quot;\ * #,##0.00_-;_-&quot;R$&quot;\ * &quot;-&quot;??_-;_-@_-"/>
    </dxf>
    <dxf>
      <font>
        <sz val="10"/>
      </font>
    </dxf>
    <dxf>
      <font>
        <sz val="10"/>
      </font>
    </dxf>
    <dxf>
      <font>
        <sz val="10"/>
      </font>
    </dxf>
    <dxf>
      <numFmt numFmtId="168" formatCode="_-* #,##0_-;\-* #,##0_-;_-* &quot;-&quot;??_-;_-@_-"/>
    </dxf>
    <dxf>
      <numFmt numFmtId="34" formatCode="_-&quot;R$&quot;\ * #,##0.00_-;\-&quot;R$&quot;\ * #,##0.00_-;_-&quot;R$&quot;\ * &quot;-&quot;??_-;_-@_-"/>
    </dxf>
    <dxf>
      <numFmt numFmtId="35" formatCode="_-* #,##0.00_-;\-* #,##0.00_-;_-* &quot;-&quot;??_-;_-@_-"/>
    </dxf>
    <dxf>
      <numFmt numFmtId="34" formatCode="_-&quot;R$&quot;\ * #,##0.00_-;\-&quot;R$&quot;\ * #,##0.00_-;_-&quot;R$&quot;\ * &quot;-&quot;??_-;_-@_-"/>
    </dxf>
    <dxf>
      <numFmt numFmtId="34" formatCode="_-&quot;R$&quot;\ * #,##0.00_-;\-&quot;R$&quot;\ * #,##0.00_-;_-&quot;R$&quot;\ * &quot;-&quot;??_-;_-@_-"/>
    </dxf>
    <dxf>
      <numFmt numFmtId="34" formatCode="_-&quot;R$&quot;\ * #,##0.00_-;\-&quot;R$&quot;\ * #,##0.00_-;_-&quot;R$&quot;\ * &quot;-&quot;??_-;_-@_-"/>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color theme="0"/>
      </font>
    </dxf>
    <dxf>
      <font>
        <b/>
        <i val="0"/>
        <color theme="0"/>
      </font>
    </dxf>
    <dxf>
      <font>
        <b/>
        <i val="0"/>
        <color theme="0"/>
      </font>
    </dxf>
    <dxf>
      <font>
        <b/>
        <i val="0"/>
        <color theme="9"/>
      </font>
    </dxf>
    <dxf>
      <font>
        <b val="0"/>
        <i val="0"/>
        <color theme="0"/>
      </font>
      <fill>
        <patternFill>
          <bgColor theme="1"/>
        </patternFill>
      </fill>
      <border diagonalUp="0" diagonalDown="0">
        <left style="thin">
          <color theme="9"/>
        </left>
        <right style="thin">
          <color theme="9"/>
        </right>
        <top style="thin">
          <color theme="9"/>
        </top>
        <bottom style="thin">
          <color theme="9"/>
        </bottom>
        <vertical style="thin">
          <color theme="9"/>
        </vertical>
        <horizontal style="thin">
          <color theme="9"/>
        </horizontal>
      </border>
    </dxf>
    <dxf>
      <font>
        <b/>
        <color theme="1"/>
      </font>
    </dxf>
    <dxf>
      <font>
        <b/>
        <color theme="1"/>
      </font>
      <fill>
        <patternFill patternType="solid">
          <fgColor theme="9" tint="0.79998168889431442"/>
          <bgColor theme="9" tint="0.79998168889431442"/>
        </patternFill>
      </fill>
      <border>
        <bottom style="thin">
          <color theme="0"/>
        </bottom>
      </border>
    </dxf>
    <dxf>
      <border>
        <top style="thin">
          <color theme="9" tint="0.79998168889431442"/>
        </top>
      </border>
    </dxf>
    <dxf>
      <border>
        <top style="thin">
          <color theme="9" tint="0.79998168889431442"/>
        </top>
      </border>
    </dxf>
    <dxf>
      <font>
        <b/>
        <color theme="1"/>
      </font>
    </dxf>
    <dxf>
      <font>
        <b/>
        <color theme="1"/>
      </font>
      <fill>
        <patternFill patternType="solid">
          <fgColor theme="9" tint="0.79998168889431442"/>
          <bgColor theme="9" tint="0.79998168889431442"/>
        </patternFill>
      </fill>
      <border>
        <top style="thin">
          <color theme="9" tint="0.59999389629810485"/>
        </top>
        <bottom style="thin">
          <color theme="9" tint="0.59999389629810485"/>
        </bottom>
      </border>
    </dxf>
    <dxf>
      <border>
        <left style="thin">
          <color theme="9"/>
        </left>
        <right style="thin">
          <color theme="9"/>
        </right>
        <top style="thin">
          <color theme="9"/>
        </top>
        <bottom style="thin">
          <color theme="9"/>
        </bottom>
      </border>
    </dxf>
    <dxf>
      <border>
        <left style="thin">
          <color theme="9" tint="0.59999389629810485"/>
        </left>
        <right style="thin">
          <color theme="9" tint="0.59999389629810485"/>
        </right>
        <top style="thin">
          <color theme="9" tint="0.59999389629810485"/>
        </top>
        <bottom style="thin">
          <color theme="9" tint="0.59999389629810485"/>
        </bottom>
      </border>
    </dxf>
    <dxf>
      <border>
        <right style="thin">
          <color theme="9"/>
        </right>
      </border>
    </dxf>
    <dxf>
      <font>
        <b/>
        <color theme="1"/>
      </font>
      <border>
        <left style="medium">
          <color theme="9"/>
        </left>
        <right style="medium">
          <color theme="9"/>
        </right>
        <top style="medium">
          <color theme="9"/>
        </top>
        <bottom style="medium">
          <color theme="9"/>
        </bottom>
      </border>
    </dxf>
    <dxf>
      <font>
        <b/>
        <color theme="1"/>
      </font>
      <border>
        <left style="medium">
          <color theme="9"/>
        </left>
        <right style="medium">
          <color theme="9"/>
        </right>
        <top style="medium">
          <color theme="9"/>
        </top>
        <bottom style="medium">
          <color theme="9"/>
        </bottom>
        <horizontal style="thin">
          <color theme="0"/>
        </horizontal>
      </border>
    </dxf>
    <dxf>
      <font>
        <color theme="9" tint="-0.249977111117893"/>
      </font>
      <fill>
        <patternFill>
          <bgColor theme="1"/>
        </patternFill>
      </fill>
      <border>
        <horizontal style="thin">
          <color theme="9" tint="0.79998168889431442"/>
        </horizontal>
      </border>
    </dxf>
    <dxf>
      <font>
        <b val="0"/>
        <i val="0"/>
        <sz val="9"/>
        <color theme="0"/>
        <name val="Javanese Text"/>
        <scheme val="none"/>
      </font>
      <fill>
        <patternFill>
          <fgColor auto="1"/>
          <bgColor theme="1"/>
        </patternFill>
      </fill>
      <border diagonalUp="0" diagonalDown="0">
        <left/>
        <right/>
        <top/>
        <bottom/>
        <vertical/>
        <horizontal/>
      </border>
    </dxf>
  </dxfs>
  <tableStyles count="5" defaultTableStyle="TableStyleMedium2" defaultPivotStyle="PivotStyleLight16">
    <tableStyle name="Foco preto" pivot="0" table="0" count="6">
      <tableStyleElement type="wholeTable" dxfId="142"/>
    </tableStyle>
    <tableStyle name="PivotStyleLight14 2" table="0" count="12">
      <tableStyleElement type="wholeTable" dxfId="141"/>
      <tableStyleElement type="headerRow" dxfId="140"/>
      <tableStyleElement type="totalRow" dxfId="139"/>
      <tableStyleElement type="firstColumn" dxfId="138"/>
      <tableStyleElement type="firstRowStripe" dxfId="137"/>
      <tableStyleElement type="firstColumnStripe" dxfId="136"/>
      <tableStyleElement type="firstSubtotalRow" dxfId="135"/>
      <tableStyleElement type="secondSubtotalRow" dxfId="134"/>
      <tableStyleElement type="secondColumnSubheading" dxfId="133"/>
      <tableStyleElement type="thirdColumnSubheading" dxfId="132"/>
      <tableStyleElement type="firstRowSubheading" dxfId="131"/>
      <tableStyleElement type="secondRowSubheading" dxfId="130"/>
    </tableStyle>
    <tableStyle name="PivotTable Style 1" table="0" count="5">
      <tableStyleElement type="wholeTable" dxfId="129"/>
      <tableStyleElement type="headerRow" dxfId="128"/>
      <tableStyleElement type="firstColumn" dxfId="127"/>
      <tableStyleElement type="firstColumnStripe" dxfId="126"/>
      <tableStyleElement type="pageFieldLabels" dxfId="125"/>
    </tableStyle>
    <tableStyle name="TableStyleQueryPreview" pivot="0" count="3">
      <tableStyleElement type="wholeTable" dxfId="124"/>
      <tableStyleElement type="headerRow" dxfId="123"/>
      <tableStyleElement type="firstRowStripe" dxfId="122"/>
    </tableStyle>
    <tableStyle name="TableStyleQueryResult" pivot="0" count="3">
      <tableStyleElement type="wholeTable" dxfId="121"/>
      <tableStyleElement type="headerRow" dxfId="120"/>
      <tableStyleElement type="firstRowStripe" dxfId="119"/>
    </tableStyle>
  </tableStyles>
  <colors>
    <mruColors>
      <color rgb="FF535151"/>
      <color rgb="FF575555"/>
      <color rgb="FF082C02"/>
      <color rgb="FF0B3B03"/>
      <color rgb="FF9FE54B"/>
      <color rgb="FFFF9933"/>
    </mruColors>
  </colors>
  <extLst>
    <ext xmlns:x14="http://schemas.microsoft.com/office/spreadsheetml/2009/9/main" uri="{46F421CA-312F-682f-3DD2-61675219B42D}">
      <x14:dxfs count="5">
        <dxf>
          <fill>
            <patternFill>
              <bgColor theme="4" tint="-0.24994659260841701"/>
            </patternFill>
          </fill>
        </dxf>
        <dxf>
          <fill>
            <patternFill>
              <bgColor theme="4" tint="0.59996337778862885"/>
            </patternFill>
          </fill>
        </dxf>
        <dxf>
          <fill>
            <patternFill>
              <bgColor theme="0" tint="-0.24994659260841701"/>
            </patternFill>
          </fill>
        </dxf>
        <dxf>
          <fill>
            <patternFill>
              <bgColor theme="9"/>
            </patternFill>
          </fill>
        </dxf>
        <dxf>
          <fill>
            <patternFill>
              <bgColor theme="1" tint="0.34998626667073579"/>
            </patternFill>
          </fill>
        </dxf>
      </x14:dxfs>
    </ext>
    <ext xmlns:x14="http://schemas.microsoft.com/office/spreadsheetml/2009/9/main" uri="{EB79DEF2-80B8-43e5-95BD-54CBDDF9020C}">
      <x14:slicerStyles defaultSlicerStyle="SlicerStyleLight1">
        <x14:slicerStyle name="Foco preto">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pivotCacheDefinition" Target="pivotCache/pivotCacheDefinition2.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powerPivotData" Target="model/item.data"/><Relationship Id="rId10" Type="http://schemas.openxmlformats.org/officeDocument/2006/relationships/pivotCacheDefinition" Target="pivotCache/pivotCacheDefinition5.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3.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15</xdr:col>
      <xdr:colOff>737053</xdr:colOff>
      <xdr:row>147</xdr:row>
      <xdr:rowOff>157387</xdr:rowOff>
    </xdr:from>
    <xdr:to>
      <xdr:col>18</xdr:col>
      <xdr:colOff>136070</xdr:colOff>
      <xdr:row>154</xdr:row>
      <xdr:rowOff>57686</xdr:rowOff>
    </xdr:to>
    <mc:AlternateContent xmlns:mc="http://schemas.openxmlformats.org/markup-compatibility/2006" xmlns:a14="http://schemas.microsoft.com/office/drawing/2010/main">
      <mc:Choice Requires="a14">
        <xdr:graphicFrame macro="">
          <xdr:nvGraphicFramePr>
            <xdr:cNvPr id="7" name="OPERAÇÃO"/>
            <xdr:cNvGraphicFramePr/>
          </xdr:nvGraphicFramePr>
          <xdr:xfrm>
            <a:off x="0" y="0"/>
            <a:ext cx="0" cy="0"/>
          </xdr:xfrm>
          <a:graphic>
            <a:graphicData uri="http://schemas.microsoft.com/office/drawing/2010/slicer">
              <sle:slicer xmlns:sle="http://schemas.microsoft.com/office/drawing/2010/slicer" name="OPERAÇÃO"/>
            </a:graphicData>
          </a:graphic>
        </xdr:graphicFrame>
      </mc:Choice>
      <mc:Fallback xmlns="">
        <xdr:sp macro="" textlink="">
          <xdr:nvSpPr>
            <xdr:cNvPr id="0" name=""/>
            <xdr:cNvSpPr>
              <a:spLocks noTextEdit="1"/>
            </xdr:cNvSpPr>
          </xdr:nvSpPr>
          <xdr:spPr>
            <a:xfrm>
              <a:off x="10182678" y="28494262"/>
              <a:ext cx="1802946" cy="1249674"/>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521605</xdr:colOff>
      <xdr:row>147</xdr:row>
      <xdr:rowOff>142419</xdr:rowOff>
    </xdr:from>
    <xdr:to>
      <xdr:col>15</xdr:col>
      <xdr:colOff>725712</xdr:colOff>
      <xdr:row>155</xdr:row>
      <xdr:rowOff>35376</xdr:rowOff>
    </xdr:to>
    <mc:AlternateContent xmlns:mc="http://schemas.openxmlformats.org/markup-compatibility/2006" xmlns:a14="http://schemas.microsoft.com/office/drawing/2010/main">
      <mc:Choice Requires="a14">
        <xdr:graphicFrame macro="">
          <xdr:nvGraphicFramePr>
            <xdr:cNvPr id="9" name="FATURAMENTO"/>
            <xdr:cNvGraphicFramePr/>
          </xdr:nvGraphicFramePr>
          <xdr:xfrm>
            <a:off x="0" y="0"/>
            <a:ext cx="0" cy="0"/>
          </xdr:xfrm>
          <a:graphic>
            <a:graphicData uri="http://schemas.microsoft.com/office/drawing/2010/slicer">
              <sle:slicer xmlns:sle="http://schemas.microsoft.com/office/drawing/2010/slicer" name="FATURAMENTO"/>
            </a:graphicData>
          </a:graphic>
        </xdr:graphicFrame>
      </mc:Choice>
      <mc:Fallback xmlns="">
        <xdr:sp macro="" textlink="">
          <xdr:nvSpPr>
            <xdr:cNvPr id="0" name=""/>
            <xdr:cNvSpPr>
              <a:spLocks noTextEdit="1"/>
            </xdr:cNvSpPr>
          </xdr:nvSpPr>
          <xdr:spPr>
            <a:xfrm>
              <a:off x="8266337" y="28479294"/>
              <a:ext cx="1905000" cy="14351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258078</xdr:colOff>
      <xdr:row>142</xdr:row>
      <xdr:rowOff>141061</xdr:rowOff>
    </xdr:from>
    <xdr:to>
      <xdr:col>16</xdr:col>
      <xdr:colOff>594175</xdr:colOff>
      <xdr:row>145</xdr:row>
      <xdr:rowOff>170090</xdr:rowOff>
    </xdr:to>
    <xdr:sp macro="[0]!Macro3" textlink="">
      <xdr:nvSpPr>
        <xdr:cNvPr id="10" name="Down Arrow 9"/>
        <xdr:cNvSpPr/>
      </xdr:nvSpPr>
      <xdr:spPr>
        <a:xfrm>
          <a:off x="10644864" y="25779186"/>
          <a:ext cx="336097" cy="607333"/>
        </a:xfrm>
        <a:prstGeom prst="down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pt-BR" sz="1100"/>
        </a:p>
      </xdr:txBody>
    </xdr:sp>
    <xdr:clientData/>
  </xdr:twoCellAnchor>
  <xdr:twoCellAnchor>
    <xdr:from>
      <xdr:col>16</xdr:col>
      <xdr:colOff>258077</xdr:colOff>
      <xdr:row>138</xdr:row>
      <xdr:rowOff>60776</xdr:rowOff>
    </xdr:from>
    <xdr:to>
      <xdr:col>16</xdr:col>
      <xdr:colOff>594174</xdr:colOff>
      <xdr:row>141</xdr:row>
      <xdr:rowOff>88304</xdr:rowOff>
    </xdr:to>
    <xdr:sp macro="[0]!Macro4" textlink="">
      <xdr:nvSpPr>
        <xdr:cNvPr id="11" name="Down Arrow 10"/>
        <xdr:cNvSpPr/>
      </xdr:nvSpPr>
      <xdr:spPr>
        <a:xfrm rot="10800000">
          <a:off x="10644863" y="24927830"/>
          <a:ext cx="336097" cy="605831"/>
        </a:xfrm>
        <a:prstGeom prst="down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pt-BR" sz="1100"/>
        </a:p>
      </xdr:txBody>
    </xdr:sp>
    <xdr:clientData/>
  </xdr:twoCellAnchor>
  <xdr:twoCellAnchor>
    <xdr:from>
      <xdr:col>10</xdr:col>
      <xdr:colOff>247650</xdr:colOff>
      <xdr:row>16</xdr:row>
      <xdr:rowOff>28575</xdr:rowOff>
    </xdr:from>
    <xdr:to>
      <xdr:col>11</xdr:col>
      <xdr:colOff>266700</xdr:colOff>
      <xdr:row>20</xdr:row>
      <xdr:rowOff>171450</xdr:rowOff>
    </xdr:to>
    <xdr:sp macro="[0]!Macro5" textlink="">
      <xdr:nvSpPr>
        <xdr:cNvPr id="12" name="Down Arrow 11"/>
        <xdr:cNvSpPr/>
      </xdr:nvSpPr>
      <xdr:spPr>
        <a:xfrm>
          <a:off x="7086600" y="219075"/>
          <a:ext cx="342900" cy="904875"/>
        </a:xfrm>
        <a:prstGeom prst="down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11</xdr:col>
      <xdr:colOff>28575</xdr:colOff>
      <xdr:row>153</xdr:row>
      <xdr:rowOff>114300</xdr:rowOff>
    </xdr:from>
    <xdr:to>
      <xdr:col>18</xdr:col>
      <xdr:colOff>83004</xdr:colOff>
      <xdr:row>162</xdr:row>
      <xdr:rowOff>181428</xdr:rowOff>
    </xdr:to>
    <mc:AlternateContent xmlns:mc="http://schemas.openxmlformats.org/markup-compatibility/2006" xmlns:sle15="http://schemas.microsoft.com/office/drawing/2012/slicer">
      <mc:Choice Requires="sle15">
        <xdr:graphicFrame macro="">
          <xdr:nvGraphicFramePr>
            <xdr:cNvPr id="5" name="AÇÃO"/>
            <xdr:cNvGraphicFramePr/>
          </xdr:nvGraphicFramePr>
          <xdr:xfrm>
            <a:off x="0" y="0"/>
            <a:ext cx="0" cy="0"/>
          </xdr:xfrm>
          <a:graphic>
            <a:graphicData uri="http://schemas.microsoft.com/office/drawing/2010/slicer">
              <sle:slicer xmlns:sle="http://schemas.microsoft.com/office/drawing/2010/slicer" name="AÇÃO"/>
            </a:graphicData>
          </a:graphic>
        </xdr:graphicFrame>
      </mc:Choice>
      <mc:Fallback xmlns="">
        <xdr:sp macro="" textlink="">
          <xdr:nvSpPr>
            <xdr:cNvPr id="0" name=""/>
            <xdr:cNvSpPr>
              <a:spLocks noTextEdit="1"/>
            </xdr:cNvSpPr>
          </xdr:nvSpPr>
          <xdr:spPr>
            <a:xfrm>
              <a:off x="7191375" y="25279350"/>
              <a:ext cx="4610100" cy="1457326"/>
            </a:xfrm>
            <a:prstGeom prst="rect">
              <a:avLst/>
            </a:prstGeom>
            <a:solidFill>
              <a:prstClr val="white"/>
            </a:solidFill>
            <a:ln w="1">
              <a:solidFill>
                <a:prstClr val="green"/>
              </a:solidFill>
            </a:ln>
          </xdr:spPr>
          <xdr:txBody>
            <a:bodyPr vertOverflow="clip" horzOverflow="clip"/>
            <a:lstStyle/>
            <a:p>
              <a:r>
                <a:rPr lang="pt-BR"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28576</xdr:colOff>
      <xdr:row>147</xdr:row>
      <xdr:rowOff>142419</xdr:rowOff>
    </xdr:from>
    <xdr:to>
      <xdr:col>13</xdr:col>
      <xdr:colOff>578305</xdr:colOff>
      <xdr:row>153</xdr:row>
      <xdr:rowOff>190046</xdr:rowOff>
    </xdr:to>
    <mc:AlternateContent xmlns:mc="http://schemas.openxmlformats.org/markup-compatibility/2006" xmlns:a14="http://schemas.microsoft.com/office/drawing/2010/main">
      <mc:Choice Requires="a14">
        <xdr:graphicFrame macro="">
          <xdr:nvGraphicFramePr>
            <xdr:cNvPr id="3" name="TIPO"/>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6242505" y="28479294"/>
              <a:ext cx="2080532" cy="1204234"/>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102054</xdr:colOff>
      <xdr:row>185</xdr:row>
      <xdr:rowOff>136070</xdr:rowOff>
    </xdr:from>
    <xdr:to>
      <xdr:col>12</xdr:col>
      <xdr:colOff>396876</xdr:colOff>
      <xdr:row>186</xdr:row>
      <xdr:rowOff>351516</xdr:rowOff>
    </xdr:to>
    <xdr:sp macro="[0]!Macro2" textlink="">
      <xdr:nvSpPr>
        <xdr:cNvPr id="2" name="Rectangle 1"/>
        <xdr:cNvSpPr/>
      </xdr:nvSpPr>
      <xdr:spPr>
        <a:xfrm>
          <a:off x="6315983" y="35798124"/>
          <a:ext cx="997857" cy="408213"/>
        </a:xfrm>
        <a:prstGeom prst="rect">
          <a:avLst/>
        </a:pr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t>ATUALIZAR</a:t>
          </a:r>
        </a:p>
      </xdr:txBody>
    </xdr:sp>
    <xdr:clientData/>
  </xdr:twoCellAnchor>
  <xdr:twoCellAnchor editAs="oneCell">
    <xdr:from>
      <xdr:col>18</xdr:col>
      <xdr:colOff>249464</xdr:colOff>
      <xdr:row>147</xdr:row>
      <xdr:rowOff>158748</xdr:rowOff>
    </xdr:from>
    <xdr:to>
      <xdr:col>22</xdr:col>
      <xdr:colOff>226786</xdr:colOff>
      <xdr:row>161</xdr:row>
      <xdr:rowOff>124731</xdr:rowOff>
    </xdr:to>
    <mc:AlternateContent xmlns:mc="http://schemas.openxmlformats.org/markup-compatibility/2006" xmlns:a14="http://schemas.microsoft.com/office/drawing/2010/main">
      <mc:Choice Requires="a14">
        <xdr:graphicFrame macro="">
          <xdr:nvGraphicFramePr>
            <xdr:cNvPr id="13" name="Periodo 1"/>
            <xdr:cNvGraphicFramePr/>
          </xdr:nvGraphicFramePr>
          <xdr:xfrm>
            <a:off x="0" y="0"/>
            <a:ext cx="0" cy="0"/>
          </xdr:xfrm>
          <a:graphic>
            <a:graphicData uri="http://schemas.microsoft.com/office/drawing/2010/slicer">
              <sle:slicer xmlns:sle="http://schemas.microsoft.com/office/drawing/2010/slicer" name="Periodo 1"/>
            </a:graphicData>
          </a:graphic>
        </xdr:graphicFrame>
      </mc:Choice>
      <mc:Fallback xmlns="">
        <xdr:sp macro="" textlink="">
          <xdr:nvSpPr>
            <xdr:cNvPr id="0" name=""/>
            <xdr:cNvSpPr>
              <a:spLocks noTextEdit="1"/>
            </xdr:cNvSpPr>
          </xdr:nvSpPr>
          <xdr:spPr>
            <a:xfrm>
              <a:off x="12099018" y="28495623"/>
              <a:ext cx="2766786" cy="2664733"/>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142875</xdr:colOff>
      <xdr:row>12</xdr:row>
      <xdr:rowOff>171450</xdr:rowOff>
    </xdr:from>
    <xdr:to>
      <xdr:col>18</xdr:col>
      <xdr:colOff>352425</xdr:colOff>
      <xdr:row>16</xdr:row>
      <xdr:rowOff>161925</xdr:rowOff>
    </xdr:to>
    <mc:AlternateContent xmlns:mc="http://schemas.openxmlformats.org/markup-compatibility/2006" xmlns:a14="http://schemas.microsoft.com/office/drawing/2010/main">
      <mc:Choice Requires="a14">
        <xdr:graphicFrame macro="">
          <xdr:nvGraphicFramePr>
            <xdr:cNvPr id="2" name="Fundo"/>
            <xdr:cNvGraphicFramePr/>
          </xdr:nvGraphicFramePr>
          <xdr:xfrm>
            <a:off x="0" y="0"/>
            <a:ext cx="0" cy="0"/>
          </xdr:xfrm>
          <a:graphic>
            <a:graphicData uri="http://schemas.microsoft.com/office/drawing/2010/slicer">
              <sle:slicer xmlns:sle="http://schemas.microsoft.com/office/drawing/2010/slicer" name="Fundo"/>
            </a:graphicData>
          </a:graphic>
        </xdr:graphicFrame>
      </mc:Choice>
      <mc:Fallback xmlns="">
        <xdr:sp macro="" textlink="">
          <xdr:nvSpPr>
            <xdr:cNvPr id="0" name=""/>
            <xdr:cNvSpPr>
              <a:spLocks noTextEdit="1"/>
            </xdr:cNvSpPr>
          </xdr:nvSpPr>
          <xdr:spPr>
            <a:xfrm>
              <a:off x="11001375" y="2457450"/>
              <a:ext cx="2857500" cy="79057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180974</xdr:colOff>
      <xdr:row>6</xdr:row>
      <xdr:rowOff>66675</xdr:rowOff>
    </xdr:from>
    <xdr:to>
      <xdr:col>18</xdr:col>
      <xdr:colOff>342900</xdr:colOff>
      <xdr:row>12</xdr:row>
      <xdr:rowOff>133350</xdr:rowOff>
    </xdr:to>
    <mc:AlternateContent xmlns:mc="http://schemas.openxmlformats.org/markup-compatibility/2006" xmlns:a14="http://schemas.microsoft.com/office/drawing/2010/main">
      <mc:Choice Requires="a14">
        <xdr:graphicFrame macro="">
          <xdr:nvGraphicFramePr>
            <xdr:cNvPr id="3" name="Periodo"/>
            <xdr:cNvGraphicFramePr/>
          </xdr:nvGraphicFramePr>
          <xdr:xfrm>
            <a:off x="0" y="0"/>
            <a:ext cx="0" cy="0"/>
          </xdr:xfrm>
          <a:graphic>
            <a:graphicData uri="http://schemas.microsoft.com/office/drawing/2010/slicer">
              <sle:slicer xmlns:sle="http://schemas.microsoft.com/office/drawing/2010/slicer" name="Periodo"/>
            </a:graphicData>
          </a:graphic>
        </xdr:graphicFrame>
      </mc:Choice>
      <mc:Fallback xmlns="">
        <xdr:sp macro="" textlink="">
          <xdr:nvSpPr>
            <xdr:cNvPr id="0" name=""/>
            <xdr:cNvSpPr>
              <a:spLocks noTextEdit="1"/>
            </xdr:cNvSpPr>
          </xdr:nvSpPr>
          <xdr:spPr>
            <a:xfrm>
              <a:off x="11039474" y="1152525"/>
              <a:ext cx="2809876" cy="12668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Costa Matheus BRSP" refreshedDate="44015.537151736113" backgroundQuery="1" createdVersion="5" refreshedVersion="5" minRefreshableVersion="3" recordCount="0" supportSubquery="1" supportAdvancedDrill="1">
  <cacheSource type="external" connectionId="2"/>
  <cacheFields count="8">
    <cacheField name="[controle].[AÇÃO].[AÇÃO]" caption="AÇÃO" numFmtId="0" hierarchy="11" level="1">
      <sharedItems count="4">
        <s v="HFOF11"/>
        <s v="MXRF11"/>
        <s v="RECT11"/>
        <s v="UBSR11"/>
      </sharedItems>
    </cacheField>
    <cacheField name="[Measures].[Sum of QNTD]" caption="Sum of QNTD" numFmtId="0" hierarchy="27" level="32767"/>
    <cacheField name="[Measures].[Sum of Rend Cota]" caption="Sum of Rend Cota" numFmtId="0" hierarchy="28" level="32767"/>
    <cacheField name="[Measures].[Sum of Resultado]" caption="Sum of Resultado" numFmtId="0" hierarchy="29" level="32767"/>
    <cacheField name="[Measures].[Average of Rendimento]" caption="Average of Rendimento" numFmtId="0" hierarchy="32" level="32767"/>
    <cacheField name="[Measures].[Sum of Rendimento]" caption="Sum of Rendimento" numFmtId="0" hierarchy="30" level="32767"/>
    <cacheField name="[Measures].[Average of Qntd Cotas]" caption="Average of Qntd Cotas" numFmtId="0" hierarchy="33" level="32767"/>
    <cacheField name="[fundo].[Periodo].[Periodo]" caption="Periodo" numFmtId="0" hierarchy="20" level="1">
      <sharedItems containsSemiMixedTypes="0" containsNonDate="0" containsString="0"/>
    </cacheField>
  </cacheFields>
  <cacheHierarchies count="38">
    <cacheHierarchy uniqueName="[ações].[data]" caption="data" attribute="1" time="1" defaultMemberUniqueName="[ações].[data].[All]" allUniqueName="[ações].[data].[All]" dimensionUniqueName="[ações]" displayFolder="" count="0" memberValueDatatype="7" unbalanced="0"/>
    <cacheHierarchy uniqueName="[ações].[data D+2]" caption="data D+2" attribute="1" defaultMemberUniqueName="[ações].[data D+2].[All]" allUniqueName="[ações].[data D+2].[All]" dimensionUniqueName="[ações]" displayFolder="" count="0" memberValueDatatype="130" unbalanced="0"/>
    <cacheHierarchy uniqueName="[ações].[CORRETORA]" caption="CORRETORA" attribute="1" defaultMemberUniqueName="[ações].[CORRETORA].[All]" allUniqueName="[ações].[CORRETORA].[All]" dimensionUniqueName="[ações]" displayFolder="" count="0" memberValueDatatype="130" unbalanced="0"/>
    <cacheHierarchy uniqueName="[ações].[TIPO]" caption="TIPO" attribute="1" defaultMemberUniqueName="[ações].[TIPO].[All]" allUniqueName="[ações].[TIPO].[All]" dimensionUniqueName="[ações]" displayFolder="" count="0" memberValueDatatype="130" unbalanced="0"/>
    <cacheHierarchy uniqueName="[ações].[AÇÃO]" caption="AÇÃO" attribute="1" defaultMemberUniqueName="[ações].[AÇÃO].[All]" allUniqueName="[ações].[AÇÃO].[All]" dimensionUniqueName="[ações]" displayFolder="" count="0" memberValueDatatype="130" unbalanced="0"/>
    <cacheHierarchy uniqueName="[ações].[OPERAÇÃO]" caption="OPERAÇÃO" attribute="1" defaultMemberUniqueName="[ações].[OPERAÇÃO].[All]" allUniqueName="[ações].[OPERAÇÃO].[All]" dimensionUniqueName="[ações]" displayFolder="" count="0" memberValueDatatype="130" unbalanced="0"/>
    <cacheHierarchy uniqueName="[ações].[QNTD]" caption="QNTD" attribute="1" defaultMemberUniqueName="[ações].[QNTD].[All]" allUniqueName="[ações].[QNTD].[All]" dimensionUniqueName="[ações]" displayFolder="" count="0" memberValueDatatype="20" unbalanced="0"/>
    <cacheHierarchy uniqueName="[ações].[PREÇO]" caption="PREÇO" attribute="1" defaultMemberUniqueName="[ações].[PREÇO].[All]" allUniqueName="[ações].[PREÇO].[All]" dimensionUniqueName="[ações]" displayFolder="" count="0" memberValueDatatype="5" unbalanced="0"/>
    <cacheHierarchy uniqueName="[ações].[VALOR]" caption="VALOR" attribute="1" defaultMemberUniqueName="[ações].[VALOR].[All]" allUniqueName="[ações].[VALOR].[All]" dimensionUniqueName="[ações]" displayFolder="" count="0" memberValueDatatype="5" unbalanced="0"/>
    <cacheHierarchy uniqueName="[ações].[TAXAS]" caption="TAXAS" attribute="1" defaultMemberUniqueName="[ações].[TAXAS].[All]" allUniqueName="[ações].[TAXAS].[All]" dimensionUniqueName="[ações]" displayFolder="" count="0" memberValueDatatype="5" unbalanced="0"/>
    <cacheHierarchy uniqueName="[ações].[COTAÇÃO]" caption="COTAÇÃO" attribute="1" defaultMemberUniqueName="[ações].[COTAÇÃO].[All]" allUniqueName="[ações].[COTAÇÃO].[All]" dimensionUniqueName="[ações]" displayFolder="" count="0" memberValueDatatype="5" unbalanced="0"/>
    <cacheHierarchy uniqueName="[controle].[AÇÃO]" caption="AÇÃO" attribute="1" defaultMemberUniqueName="[controle].[AÇÃO].[All]" allUniqueName="[controle].[AÇÃO].[All]" dimensionUniqueName="[controle]" displayFolder="" count="2" memberValueDatatype="130" unbalanced="0">
      <fieldsUsage count="2">
        <fieldUsage x="-1"/>
        <fieldUsage x="0"/>
      </fieldsUsage>
    </cacheHierarchy>
    <cacheHierarchy uniqueName="[controle].[QNTD]" caption="QNTD" attribute="1" defaultMemberUniqueName="[controle].[QNTD].[All]" allUniqueName="[controle].[QNTD].[All]" dimensionUniqueName="[controle]" displayFolder="" count="0" memberValueDatatype="20" unbalanced="0"/>
    <cacheHierarchy uniqueName="[controle].[P. MEDIO]" caption="P. MEDIO" attribute="1" defaultMemberUniqueName="[controle].[P. MEDIO].[All]" allUniqueName="[controle].[P. MEDIO].[All]" dimensionUniqueName="[controle]" displayFolder="" count="0" memberValueDatatype="5" unbalanced="0"/>
    <cacheHierarchy uniqueName="[controle].[COTAÇÃO]" caption="COTAÇÃO" attribute="1" defaultMemberUniqueName="[controle].[COTAÇÃO].[All]" allUniqueName="[controle].[COTAÇÃO].[All]" dimensionUniqueName="[controle]" displayFolder="" count="0" memberValueDatatype="5" unbalanced="0"/>
    <cacheHierarchy uniqueName="[controle].[GASTO]" caption="GASTO" attribute="1" defaultMemberUniqueName="[controle].[GASTO].[All]" allUniqueName="[controle].[GASTO].[All]" dimensionUniqueName="[controle]" displayFolder="" count="0" memberValueDatatype="5" unbalanced="0"/>
    <cacheHierarchy uniqueName="[controle].[MERCADO]" caption="MERCADO" attribute="1" defaultMemberUniqueName="[controle].[MERCADO].[All]" allUniqueName="[controle].[MERCADO].[All]" dimensionUniqueName="[controle]" displayFolder="" count="0" memberValueDatatype="5" unbalanced="0"/>
    <cacheHierarchy uniqueName="[controle].[RESULTADO]" caption="RESULTADO" attribute="1" defaultMemberUniqueName="[controle].[RESULTADO].[All]" allUniqueName="[controle].[RESULTADO].[All]" dimensionUniqueName="[controle]" displayFolder="" count="0" memberValueDatatype="5" unbalanced="0"/>
    <cacheHierarchy uniqueName="[controle].[%]" caption="%" attribute="1" defaultMemberUniqueName="[controle].[%].[All]" allUniqueName="[controle].[%].[All]" dimensionUniqueName="[controle]" displayFolder="" count="0" memberValueDatatype="5" unbalanced="0"/>
    <cacheHierarchy uniqueName="[fundo].[Fundo]" caption="Fundo" attribute="1" defaultMemberUniqueName="[fundo].[Fundo].[All]" allUniqueName="[fundo].[Fundo].[All]" dimensionUniqueName="[fundo]" displayFolder="" count="0" memberValueDatatype="130" unbalanced="0"/>
    <cacheHierarchy uniqueName="[fundo].[Periodo]" caption="Periodo" attribute="1" time="1" defaultMemberUniqueName="[fundo].[Periodo].[All]" allUniqueName="[fundo].[Periodo].[All]" dimensionUniqueName="[fundo]" displayFolder="" count="2" memberValueDatatype="7" unbalanced="0">
      <fieldsUsage count="2">
        <fieldUsage x="-1"/>
        <fieldUsage x="7"/>
      </fieldsUsage>
    </cacheHierarchy>
    <cacheHierarchy uniqueName="[fundo].[Resultado]" caption="Resultado" attribute="1" defaultMemberUniqueName="[fundo].[Resultado].[All]" allUniqueName="[fundo].[Resultado].[All]" dimensionUniqueName="[fundo]" displayFolder="" count="0" memberValueDatatype="20" unbalanced="0"/>
    <cacheHierarchy uniqueName="[fundo].[Rendimento]" caption="Rendimento" attribute="1" defaultMemberUniqueName="[fundo].[Rendimento].[All]" allUniqueName="[fundo].[Rendimento].[All]" dimensionUniqueName="[fundo]" displayFolder="" count="0" memberValueDatatype="20" unbalanced="0"/>
    <cacheHierarchy uniqueName="[fundo].[Resul. Cota]" caption="Resul. Cota" attribute="1" defaultMemberUniqueName="[fundo].[Resul. Cota].[All]" allUniqueName="[fundo].[Resul. Cota].[All]" dimensionUniqueName="[fundo]" displayFolder="" count="0" memberValueDatatype="5" unbalanced="0"/>
    <cacheHierarchy uniqueName="[fundo].[Rend. Cota]" caption="Rend. Cota" attribute="1" defaultMemberUniqueName="[fundo].[Rend. Cota].[All]" allUniqueName="[fundo].[Rend. Cota].[All]" dimensionUniqueName="[fundo]" displayFolder="" count="0" memberValueDatatype="5" unbalanced="0"/>
    <cacheHierarchy uniqueName="[fundo].[Qntd. Cotas]" caption="Qntd. Cotas" attribute="1" defaultMemberUniqueName="[fundo].[Qntd. Cotas].[All]" allUniqueName="[fundo].[Qntd. Cotas].[All]" dimensionUniqueName="[fundo]" displayFolder="" count="0" memberValueDatatype="20" unbalanced="0"/>
    <cacheHierarchy uniqueName="[fundo].[P/VPA]" caption="P/VPA" attribute="1" defaultMemberUniqueName="[fundo].[P/VPA].[All]" allUniqueName="[fundo].[P/VPA].[All]" dimensionUniqueName="[fundo]" displayFolder="" count="0" memberValueDatatype="20" unbalanced="0"/>
    <cacheHierarchy uniqueName="[Measures].[Sum of QNTD]" caption="Sum of QNTD" measure="1" displayFolder="" measureGroup="controle" count="0" oneField="1">
      <fieldsUsage count="1">
        <fieldUsage x="1"/>
      </fieldsUsage>
      <extLst>
        <ext xmlns:x15="http://schemas.microsoft.com/office/spreadsheetml/2010/11/main" uri="{B97F6D7D-B522-45F9-BDA1-12C45D357490}">
          <x15:cacheHierarchy aggregatedColumn="12"/>
        </ext>
      </extLst>
    </cacheHierarchy>
    <cacheHierarchy uniqueName="[Measures].[Sum of Rend Cota]" caption="Sum of Rend Cota" measure="1" displayFolder="" measureGroup="fundo" count="0" oneField="1">
      <fieldsUsage count="1">
        <fieldUsage x="2"/>
      </fieldsUsage>
      <extLst>
        <ext xmlns:x15="http://schemas.microsoft.com/office/spreadsheetml/2010/11/main" uri="{B97F6D7D-B522-45F9-BDA1-12C45D357490}">
          <x15:cacheHierarchy aggregatedColumn="24"/>
        </ext>
      </extLst>
    </cacheHierarchy>
    <cacheHierarchy uniqueName="[Measures].[Sum of Resultado]" caption="Sum of Resultado" measure="1" displayFolder="" measureGroup="fundo" count="0" oneField="1">
      <fieldsUsage count="1">
        <fieldUsage x="3"/>
      </fieldsUsage>
      <extLst>
        <ext xmlns:x15="http://schemas.microsoft.com/office/spreadsheetml/2010/11/main" uri="{B97F6D7D-B522-45F9-BDA1-12C45D357490}">
          <x15:cacheHierarchy aggregatedColumn="21"/>
        </ext>
      </extLst>
    </cacheHierarchy>
    <cacheHierarchy uniqueName="[Measures].[Sum of Rendimento]" caption="Sum of Rendimento" measure="1" displayFolder="" measureGroup="fundo" count="0" oneField="1">
      <fieldsUsage count="1">
        <fieldUsage x="5"/>
      </fieldsUsage>
      <extLst>
        <ext xmlns:x15="http://schemas.microsoft.com/office/spreadsheetml/2010/11/main" uri="{B97F6D7D-B522-45F9-BDA1-12C45D357490}">
          <x15:cacheHierarchy aggregatedColumn="22"/>
        </ext>
      </extLst>
    </cacheHierarchy>
    <cacheHierarchy uniqueName="[Measures].[Sum of Qntd Cotas]" caption="Sum of Qntd Cotas" measure="1" displayFolder="" measureGroup="fundo" count="0">
      <extLst>
        <ext xmlns:x15="http://schemas.microsoft.com/office/spreadsheetml/2010/11/main" uri="{B97F6D7D-B522-45F9-BDA1-12C45D357490}">
          <x15:cacheHierarchy aggregatedColumn="25"/>
        </ext>
      </extLst>
    </cacheHierarchy>
    <cacheHierarchy uniqueName="[Measures].[Average of Rendimento]" caption="Average of Rendimento" measure="1" displayFolder="" measureGroup="fundo" count="0" oneField="1">
      <fieldsUsage count="1">
        <fieldUsage x="4"/>
      </fieldsUsage>
      <extLst>
        <ext xmlns:x15="http://schemas.microsoft.com/office/spreadsheetml/2010/11/main" uri="{B97F6D7D-B522-45F9-BDA1-12C45D357490}">
          <x15:cacheHierarchy aggregatedColumn="22"/>
        </ext>
      </extLst>
    </cacheHierarchy>
    <cacheHierarchy uniqueName="[Measures].[Average of Qntd Cotas]" caption="Average of Qntd Cotas" measure="1" displayFolder="" measureGroup="fundo" count="0" oneField="1">
      <fieldsUsage count="1">
        <fieldUsage x="6"/>
      </fieldsUsage>
      <extLst>
        <ext xmlns:x15="http://schemas.microsoft.com/office/spreadsheetml/2010/11/main" uri="{B97F6D7D-B522-45F9-BDA1-12C45D357490}">
          <x15:cacheHierarchy aggregatedColumn="25"/>
        </ext>
      </extLst>
    </cacheHierarchy>
    <cacheHierarchy uniqueName="[Measures].[__XL_Count ações]" caption="__XL_Count ações" measure="1" displayFolder="" measureGroup="ações" count="0" hidden="1"/>
    <cacheHierarchy uniqueName="[Measures].[__XL_Count controle]" caption="__XL_Count controle" measure="1" displayFolder="" measureGroup="controle" count="0" hidden="1"/>
    <cacheHierarchy uniqueName="[Measures].[__XL_Count fundo]" caption="__XL_Count fundo" measure="1" displayFolder="" measureGroup="fundo" count="0" hidden="1"/>
    <cacheHierarchy uniqueName="[Measures].[__XL_Count of Models]" caption="__XL_Count of Models" measure="1" displayFolder="" count="0" hidden="1"/>
  </cacheHierarchies>
  <kpis count="0"/>
  <dimensions count="4">
    <dimension name="ações" uniqueName="[ações]" caption="ações"/>
    <dimension name="controle" uniqueName="[controle]" caption="controle"/>
    <dimension name="fundo" uniqueName="[fundo]" caption="fundo"/>
    <dimension measure="1" name="Measures" uniqueName="[Measures]" caption="Measures"/>
  </dimensions>
  <measureGroups count="3">
    <measureGroup name="ações" caption="ações"/>
    <measureGroup name="controle" caption="controle"/>
    <measureGroup name="fundo" caption="fundo"/>
  </measureGroups>
  <maps count="4">
    <map measureGroup="0" dimension="0"/>
    <map measureGroup="1" dimension="1"/>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Costa Matheus BRSP" refreshedDate="44015.53715405093" backgroundQuery="1" createdVersion="5" refreshedVersion="5" minRefreshableVersion="3" recordCount="0" supportSubquery="1" supportAdvancedDrill="1">
  <cacheSource type="external" connectionId="2"/>
  <cacheFields count="7">
    <cacheField name="[controle].[AÇÃO].[AÇÃO]" caption="AÇÃO" numFmtId="0" hierarchy="11" level="1">
      <sharedItems count="4">
        <s v="HFOF11"/>
        <s v="MXRF11"/>
        <s v="RECT11"/>
        <s v="UBSR11"/>
      </sharedItems>
    </cacheField>
    <cacheField name="[Measures].[Sum of QNTD]" caption="Sum of QNTD" numFmtId="0" hierarchy="27" level="32767"/>
    <cacheField name="[Measures].[Sum of Rend Cota]" caption="Sum of Rend Cota" numFmtId="0" hierarchy="28" level="32767"/>
    <cacheField name="[Measures].[Sum of Resultado]" caption="Sum of Resultado" numFmtId="0" hierarchy="29" level="32767"/>
    <cacheField name="[Measures].[Average of Rendimento]" caption="Average of Rendimento" numFmtId="0" hierarchy="32" level="32767"/>
    <cacheField name="[Measures].[Sum of Rendimento]" caption="Sum of Rendimento" numFmtId="0" hierarchy="30" level="32767"/>
    <cacheField name="[Measures].[Average of Qntd Cotas]" caption="Average of Qntd Cotas" numFmtId="0" hierarchy="33" level="32767"/>
  </cacheFields>
  <cacheHierarchies count="38">
    <cacheHierarchy uniqueName="[ações].[data]" caption="data" attribute="1" time="1" defaultMemberUniqueName="[ações].[data].[All]" allUniqueName="[ações].[data].[All]" dimensionUniqueName="[ações]" displayFolder="" count="0" memberValueDatatype="7" unbalanced="0"/>
    <cacheHierarchy uniqueName="[ações].[data D+2]" caption="data D+2" attribute="1" defaultMemberUniqueName="[ações].[data D+2].[All]" allUniqueName="[ações].[data D+2].[All]" dimensionUniqueName="[ações]" displayFolder="" count="0" memberValueDatatype="130" unbalanced="0"/>
    <cacheHierarchy uniqueName="[ações].[CORRETORA]" caption="CORRETORA" attribute="1" defaultMemberUniqueName="[ações].[CORRETORA].[All]" allUniqueName="[ações].[CORRETORA].[All]" dimensionUniqueName="[ações]" displayFolder="" count="0" memberValueDatatype="130" unbalanced="0"/>
    <cacheHierarchy uniqueName="[ações].[TIPO]" caption="TIPO" attribute="1" defaultMemberUniqueName="[ações].[TIPO].[All]" allUniqueName="[ações].[TIPO].[All]" dimensionUniqueName="[ações]" displayFolder="" count="0" memberValueDatatype="130" unbalanced="0"/>
    <cacheHierarchy uniqueName="[ações].[AÇÃO]" caption="AÇÃO" attribute="1" defaultMemberUniqueName="[ações].[AÇÃO].[All]" allUniqueName="[ações].[AÇÃO].[All]" dimensionUniqueName="[ações]" displayFolder="" count="0" memberValueDatatype="130" unbalanced="0"/>
    <cacheHierarchy uniqueName="[ações].[OPERAÇÃO]" caption="OPERAÇÃO" attribute="1" defaultMemberUniqueName="[ações].[OPERAÇÃO].[All]" allUniqueName="[ações].[OPERAÇÃO].[All]" dimensionUniqueName="[ações]" displayFolder="" count="0" memberValueDatatype="130" unbalanced="0"/>
    <cacheHierarchy uniqueName="[ações].[QNTD]" caption="QNTD" attribute="1" defaultMemberUniqueName="[ações].[QNTD].[All]" allUniqueName="[ações].[QNTD].[All]" dimensionUniqueName="[ações]" displayFolder="" count="0" memberValueDatatype="20" unbalanced="0"/>
    <cacheHierarchy uniqueName="[ações].[PREÇO]" caption="PREÇO" attribute="1" defaultMemberUniqueName="[ações].[PREÇO].[All]" allUniqueName="[ações].[PREÇO].[All]" dimensionUniqueName="[ações]" displayFolder="" count="0" memberValueDatatype="5" unbalanced="0"/>
    <cacheHierarchy uniqueName="[ações].[VALOR]" caption="VALOR" attribute="1" defaultMemberUniqueName="[ações].[VALOR].[All]" allUniqueName="[ações].[VALOR].[All]" dimensionUniqueName="[ações]" displayFolder="" count="0" memberValueDatatype="5" unbalanced="0"/>
    <cacheHierarchy uniqueName="[ações].[TAXAS]" caption="TAXAS" attribute="1" defaultMemberUniqueName="[ações].[TAXAS].[All]" allUniqueName="[ações].[TAXAS].[All]" dimensionUniqueName="[ações]" displayFolder="" count="0" memberValueDatatype="5" unbalanced="0"/>
    <cacheHierarchy uniqueName="[ações].[COTAÇÃO]" caption="COTAÇÃO" attribute="1" defaultMemberUniqueName="[ações].[COTAÇÃO].[All]" allUniqueName="[ações].[COTAÇÃO].[All]" dimensionUniqueName="[ações]" displayFolder="" count="0" memberValueDatatype="5" unbalanced="0"/>
    <cacheHierarchy uniqueName="[controle].[AÇÃO]" caption="AÇÃO" attribute="1" defaultMemberUniqueName="[controle].[AÇÃO].[All]" allUniqueName="[controle].[AÇÃO].[All]" dimensionUniqueName="[controle]" displayFolder="" count="2" memberValueDatatype="130" unbalanced="0">
      <fieldsUsage count="2">
        <fieldUsage x="-1"/>
        <fieldUsage x="0"/>
      </fieldsUsage>
    </cacheHierarchy>
    <cacheHierarchy uniqueName="[controle].[QNTD]" caption="QNTD" attribute="1" defaultMemberUniqueName="[controle].[QNTD].[All]" allUniqueName="[controle].[QNTD].[All]" dimensionUniqueName="[controle]" displayFolder="" count="0" memberValueDatatype="20" unbalanced="0"/>
    <cacheHierarchy uniqueName="[controle].[P. MEDIO]" caption="P. MEDIO" attribute="1" defaultMemberUniqueName="[controle].[P. MEDIO].[All]" allUniqueName="[controle].[P. MEDIO].[All]" dimensionUniqueName="[controle]" displayFolder="" count="0" memberValueDatatype="5" unbalanced="0"/>
    <cacheHierarchy uniqueName="[controle].[COTAÇÃO]" caption="COTAÇÃO" attribute="1" defaultMemberUniqueName="[controle].[COTAÇÃO].[All]" allUniqueName="[controle].[COTAÇÃO].[All]" dimensionUniqueName="[controle]" displayFolder="" count="0" memberValueDatatype="5" unbalanced="0"/>
    <cacheHierarchy uniqueName="[controle].[GASTO]" caption="GASTO" attribute="1" defaultMemberUniqueName="[controle].[GASTO].[All]" allUniqueName="[controle].[GASTO].[All]" dimensionUniqueName="[controle]" displayFolder="" count="0" memberValueDatatype="5" unbalanced="0"/>
    <cacheHierarchy uniqueName="[controle].[MERCADO]" caption="MERCADO" attribute="1" defaultMemberUniqueName="[controle].[MERCADO].[All]" allUniqueName="[controle].[MERCADO].[All]" dimensionUniqueName="[controle]" displayFolder="" count="0" memberValueDatatype="5" unbalanced="0"/>
    <cacheHierarchy uniqueName="[controle].[RESULTADO]" caption="RESULTADO" attribute="1" defaultMemberUniqueName="[controle].[RESULTADO].[All]" allUniqueName="[controle].[RESULTADO].[All]" dimensionUniqueName="[controle]" displayFolder="" count="0" memberValueDatatype="5" unbalanced="0"/>
    <cacheHierarchy uniqueName="[controle].[%]" caption="%" attribute="1" defaultMemberUniqueName="[controle].[%].[All]" allUniqueName="[controle].[%].[All]" dimensionUniqueName="[controle]" displayFolder="" count="0" memberValueDatatype="5" unbalanced="0"/>
    <cacheHierarchy uniqueName="[fundo].[Fundo]" caption="Fundo" attribute="1" defaultMemberUniqueName="[fundo].[Fundo].[All]" allUniqueName="[fundo].[Fundo].[All]" dimensionUniqueName="[fundo]" displayFolder="" count="0" memberValueDatatype="130" unbalanced="0"/>
    <cacheHierarchy uniqueName="[fundo].[Periodo]" caption="Periodo" attribute="1" time="1" defaultMemberUniqueName="[fundo].[Periodo].[All]" allUniqueName="[fundo].[Periodo].[All]" dimensionUniqueName="[fundo]" displayFolder="" count="0" memberValueDatatype="7" unbalanced="0"/>
    <cacheHierarchy uniqueName="[fundo].[Resultado]" caption="Resultado" attribute="1" defaultMemberUniqueName="[fundo].[Resultado].[All]" allUniqueName="[fundo].[Resultado].[All]" dimensionUniqueName="[fundo]" displayFolder="" count="0" memberValueDatatype="20" unbalanced="0"/>
    <cacheHierarchy uniqueName="[fundo].[Rendimento]" caption="Rendimento" attribute="1" defaultMemberUniqueName="[fundo].[Rendimento].[All]" allUniqueName="[fundo].[Rendimento].[All]" dimensionUniqueName="[fundo]" displayFolder="" count="0" memberValueDatatype="20" unbalanced="0"/>
    <cacheHierarchy uniqueName="[fundo].[Resul. Cota]" caption="Resul. Cota" attribute="1" defaultMemberUniqueName="[fundo].[Resul. Cota].[All]" allUniqueName="[fundo].[Resul. Cota].[All]" dimensionUniqueName="[fundo]" displayFolder="" count="0" memberValueDatatype="5" unbalanced="0"/>
    <cacheHierarchy uniqueName="[fundo].[Rend. Cota]" caption="Rend. Cota" attribute="1" defaultMemberUniqueName="[fundo].[Rend. Cota].[All]" allUniqueName="[fundo].[Rend. Cota].[All]" dimensionUniqueName="[fundo]" displayFolder="" count="0" memberValueDatatype="5" unbalanced="0"/>
    <cacheHierarchy uniqueName="[fundo].[Qntd. Cotas]" caption="Qntd. Cotas" attribute="1" defaultMemberUniqueName="[fundo].[Qntd. Cotas].[All]" allUniqueName="[fundo].[Qntd. Cotas].[All]" dimensionUniqueName="[fundo]" displayFolder="" count="0" memberValueDatatype="20" unbalanced="0"/>
    <cacheHierarchy uniqueName="[fundo].[P/VPA]" caption="P/VPA" attribute="1" defaultMemberUniqueName="[fundo].[P/VPA].[All]" allUniqueName="[fundo].[P/VPA].[All]" dimensionUniqueName="[fundo]" displayFolder="" count="0" memberValueDatatype="20" unbalanced="0"/>
    <cacheHierarchy uniqueName="[Measures].[Sum of QNTD]" caption="Sum of QNTD" measure="1" displayFolder="" measureGroup="controle" count="0" oneField="1">
      <fieldsUsage count="1">
        <fieldUsage x="1"/>
      </fieldsUsage>
      <extLst>
        <ext xmlns:x15="http://schemas.microsoft.com/office/spreadsheetml/2010/11/main" uri="{B97F6D7D-B522-45F9-BDA1-12C45D357490}">
          <x15:cacheHierarchy aggregatedColumn="12"/>
        </ext>
      </extLst>
    </cacheHierarchy>
    <cacheHierarchy uniqueName="[Measures].[Sum of Rend Cota]" caption="Sum of Rend Cota" measure="1" displayFolder="" measureGroup="fundo" count="0" oneField="1">
      <fieldsUsage count="1">
        <fieldUsage x="2"/>
      </fieldsUsage>
      <extLst>
        <ext xmlns:x15="http://schemas.microsoft.com/office/spreadsheetml/2010/11/main" uri="{B97F6D7D-B522-45F9-BDA1-12C45D357490}">
          <x15:cacheHierarchy aggregatedColumn="24"/>
        </ext>
      </extLst>
    </cacheHierarchy>
    <cacheHierarchy uniqueName="[Measures].[Sum of Resultado]" caption="Sum of Resultado" measure="1" displayFolder="" measureGroup="fundo" count="0" oneField="1">
      <fieldsUsage count="1">
        <fieldUsage x="3"/>
      </fieldsUsage>
      <extLst>
        <ext xmlns:x15="http://schemas.microsoft.com/office/spreadsheetml/2010/11/main" uri="{B97F6D7D-B522-45F9-BDA1-12C45D357490}">
          <x15:cacheHierarchy aggregatedColumn="21"/>
        </ext>
      </extLst>
    </cacheHierarchy>
    <cacheHierarchy uniqueName="[Measures].[Sum of Rendimento]" caption="Sum of Rendimento" measure="1" displayFolder="" measureGroup="fundo" count="0" oneField="1">
      <fieldsUsage count="1">
        <fieldUsage x="5"/>
      </fieldsUsage>
      <extLst>
        <ext xmlns:x15="http://schemas.microsoft.com/office/spreadsheetml/2010/11/main" uri="{B97F6D7D-B522-45F9-BDA1-12C45D357490}">
          <x15:cacheHierarchy aggregatedColumn="22"/>
        </ext>
      </extLst>
    </cacheHierarchy>
    <cacheHierarchy uniqueName="[Measures].[Sum of Qntd Cotas]" caption="Sum of Qntd Cotas" measure="1" displayFolder="" measureGroup="fundo" count="0">
      <extLst>
        <ext xmlns:x15="http://schemas.microsoft.com/office/spreadsheetml/2010/11/main" uri="{B97F6D7D-B522-45F9-BDA1-12C45D357490}">
          <x15:cacheHierarchy aggregatedColumn="25"/>
        </ext>
      </extLst>
    </cacheHierarchy>
    <cacheHierarchy uniqueName="[Measures].[Average of Rendimento]" caption="Average of Rendimento" measure="1" displayFolder="" measureGroup="fundo" count="0" oneField="1">
      <fieldsUsage count="1">
        <fieldUsage x="4"/>
      </fieldsUsage>
      <extLst>
        <ext xmlns:x15="http://schemas.microsoft.com/office/spreadsheetml/2010/11/main" uri="{B97F6D7D-B522-45F9-BDA1-12C45D357490}">
          <x15:cacheHierarchy aggregatedColumn="22"/>
        </ext>
      </extLst>
    </cacheHierarchy>
    <cacheHierarchy uniqueName="[Measures].[Average of Qntd Cotas]" caption="Average of Qntd Cotas" measure="1" displayFolder="" measureGroup="fundo" count="0" oneField="1">
      <fieldsUsage count="1">
        <fieldUsage x="6"/>
      </fieldsUsage>
      <extLst>
        <ext xmlns:x15="http://schemas.microsoft.com/office/spreadsheetml/2010/11/main" uri="{B97F6D7D-B522-45F9-BDA1-12C45D357490}">
          <x15:cacheHierarchy aggregatedColumn="25"/>
        </ext>
      </extLst>
    </cacheHierarchy>
    <cacheHierarchy uniqueName="[Measures].[__XL_Count ações]" caption="__XL_Count ações" measure="1" displayFolder="" measureGroup="ações" count="0" hidden="1"/>
    <cacheHierarchy uniqueName="[Measures].[__XL_Count controle]" caption="__XL_Count controle" measure="1" displayFolder="" measureGroup="controle" count="0" hidden="1"/>
    <cacheHierarchy uniqueName="[Measures].[__XL_Count fundo]" caption="__XL_Count fundo" measure="1" displayFolder="" measureGroup="fundo" count="0" hidden="1"/>
    <cacheHierarchy uniqueName="[Measures].[__XL_Count of Models]" caption="__XL_Count of Models" measure="1" displayFolder="" count="0" hidden="1"/>
  </cacheHierarchies>
  <kpis count="0"/>
  <dimensions count="4">
    <dimension name="ações" uniqueName="[ações]" caption="ações"/>
    <dimension name="controle" uniqueName="[controle]" caption="controle"/>
    <dimension name="fundo" uniqueName="[fundo]" caption="fundo"/>
    <dimension measure="1" name="Measures" uniqueName="[Measures]" caption="Measures"/>
  </dimensions>
  <measureGroups count="3">
    <measureGroup name="ações" caption="ações"/>
    <measureGroup name="controle" caption="controle"/>
    <measureGroup name="fundo" caption="fundo"/>
  </measureGroups>
  <maps count="4">
    <map measureGroup="0" dimension="0"/>
    <map measureGroup="1" dimension="1"/>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r:id="rId1" refreshedBy="Costa Matheus BRSP" refreshedDate="44015.537154398146" createdVersion="5" refreshedVersion="5" minRefreshableVersion="3" recordCount="72">
  <cacheSource type="worksheet">
    <worksheetSource name="fundo"/>
  </cacheSource>
  <cacheFields count="9">
    <cacheField name="Fundo" numFmtId="43">
      <sharedItems count="6">
        <s v="HFOF11"/>
        <s v="RECT11"/>
        <s v="MXRF11"/>
        <s v="XPPR11"/>
        <s v="HABT11"/>
        <s v="UBSR11"/>
      </sharedItems>
    </cacheField>
    <cacheField name="Periodo" numFmtId="166">
      <sharedItems containsSemiMixedTypes="0" containsNonDate="0" containsDate="1" containsString="0" minDate="2020-01-01T00:00:00" maxDate="2020-12-02T00:00:00" count="12">
        <d v="2020-01-01T00:00:00"/>
        <d v="2020-02-01T00:00:00"/>
        <d v="2020-03-01T00:00:00"/>
        <d v="2020-04-01T00:00:00"/>
        <d v="2020-05-01T00:00:00"/>
        <d v="2020-06-01T00:00:00"/>
        <d v="2020-07-01T00:00:00"/>
        <d v="2020-08-01T00:00:00"/>
        <d v="2020-09-01T00:00:00"/>
        <d v="2020-10-01T00:00:00"/>
        <d v="2020-11-01T00:00:00"/>
        <d v="2020-12-01T00:00:00"/>
      </sharedItems>
    </cacheField>
    <cacheField name="Resultado" numFmtId="43">
      <sharedItems containsString="0" containsBlank="1" containsNumber="1" containsInteger="1" minValue="1912022" maxValue="19898481"/>
    </cacheField>
    <cacheField name="Rendimento" numFmtId="43">
      <sharedItems containsString="0" containsBlank="1" containsNumber="1" containsInteger="1" minValue="2160000" maxValue="14265000"/>
    </cacheField>
    <cacheField name="Resul. Cota" numFmtId="43">
      <sharedItems containsString="0" containsBlank="1" containsNumber="1" minValue="0.6" maxValue="1.3"/>
    </cacheField>
    <cacheField name="Rend. Cota" numFmtId="43">
      <sharedItems containsString="0" containsBlank="1" containsNumber="1" minValue="7.0000000000000007E-2" maxValue="1.29"/>
    </cacheField>
    <cacheField name="Qntd. Cotas" numFmtId="43">
      <sharedItems containsString="0" containsBlank="1" containsNumber="1" containsInteger="1" minValue="3828572" maxValue="122942210"/>
    </cacheField>
    <cacheField name="P/VPA" numFmtId="0">
      <sharedItems containsString="0" containsBlank="1" containsNumber="1" containsInteger="1" minValue="683513419" maxValue="1260331811"/>
    </cacheField>
    <cacheField name="Field1" numFmtId="0" formula=" ((Resultado+AVERAGE(Resultado))*0.95)-Rendimento" databaseField="0"/>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Costa Matheus BRSP" refreshedDate="44015.887814351852" createdVersion="5" refreshedVersion="5" minRefreshableVersion="3" recordCount="52">
  <cacheSource type="worksheet">
    <worksheetSource name="payload"/>
  </cacheSource>
  <cacheFields count="9">
    <cacheField name="DATA COM" numFmtId="16">
      <sharedItems containsSemiMixedTypes="0" containsNonDate="0" containsDate="1" containsString="0" minDate="2020-03-01T00:00:00" maxDate="2020-07-02T00:00:00" count="31">
        <d v="2020-03-31T00:00:00"/>
        <d v="2020-04-14T00:00:00"/>
        <d v="2020-04-23T00:00:00"/>
        <d v="2020-04-25T00:00:00"/>
        <d v="2020-03-01T00:00:00"/>
        <d v="2020-04-07T00:00:00"/>
        <d v="2020-04-13T00:00:00"/>
        <d v="2020-04-15T00:00:00"/>
        <d v="2020-04-16T00:00:00"/>
        <d v="2020-04-27T00:00:00"/>
        <d v="2020-05-04T00:00:00"/>
        <d v="2020-05-05T00:00:00"/>
        <d v="2020-04-28T00:00:00"/>
        <d v="2020-05-01T00:00:00"/>
        <d v="2020-05-07T00:00:00"/>
        <d v="2020-04-01T00:00:00"/>
        <d v="2020-05-13T00:00:00"/>
        <d v="2020-05-15T00:00:00"/>
        <d v="2020-05-19T00:00:00"/>
        <d v="2020-05-27T00:00:00"/>
        <d v="2020-05-29T00:00:00"/>
        <d v="2020-06-01T00:00:00"/>
        <d v="2020-06-05T00:00:00"/>
        <d v="2020-04-09T00:00:00"/>
        <d v="2020-06-09T00:00:00"/>
        <d v="2020-06-14T00:00:00"/>
        <d v="2020-06-17T00:00:00"/>
        <d v="2020-06-22T00:00:00"/>
        <d v="2020-06-26T00:00:00"/>
        <d v="2020-06-30T00:00:00"/>
        <d v="2020-07-01T00:00:00"/>
      </sharedItems>
      <fieldGroup base="0">
        <rangePr groupBy="months" startDate="2020-03-01T00:00:00" endDate="2020-07-02T00:00:00"/>
        <groupItems count="14">
          <s v="&lt;01/03/2020"/>
          <s v="jan"/>
          <s v="fev"/>
          <s v="mar"/>
          <s v="abr"/>
          <s v="mai"/>
          <s v="jun"/>
          <s v="jul"/>
          <s v="ago"/>
          <s v="set"/>
          <s v="out"/>
          <s v="nov"/>
          <s v="dez"/>
          <s v="&gt;02/07/2020"/>
        </groupItems>
      </fieldGroup>
    </cacheField>
    <cacheField name="DATA EX" numFmtId="16">
      <sharedItems containsSemiMixedTypes="0" containsNonDate="0" containsDate="1" containsString="0" minDate="2020-03-01T00:00:00" maxDate="2020-07-02T00:00:00"/>
    </cacheField>
    <cacheField name="MES" numFmtId="16">
      <sharedItems/>
    </cacheField>
    <cacheField name="OPERAÇÃO" numFmtId="16">
      <sharedItems count="5">
        <s v="INTER"/>
        <s v="NU BANK"/>
        <s v="TRANSFER"/>
        <s v="PATRIMONIO"/>
        <s v="NUBANK" u="1"/>
      </sharedItems>
    </cacheField>
    <cacheField name="MEIO" numFmtId="0">
      <sharedItems/>
    </cacheField>
    <cacheField name="TIPO" numFmtId="0">
      <sharedItems/>
    </cacheField>
    <cacheField name="QNTD" numFmtId="0">
      <sharedItems containsSemiMixedTypes="0" containsString="0" containsNumber="1" containsInteger="1" minValue="1" maxValue="95"/>
    </cacheField>
    <cacheField name="PREÇO" numFmtId="44">
      <sharedItems containsSemiMixedTypes="0" containsString="0" containsNumber="1" minValue="-400" maxValue="6500"/>
    </cacheField>
    <cacheField name="VALOR" numFmtId="44">
      <sharedItems containsSemiMixedTypes="0" containsString="0" containsNumber="1" minValue="-400" maxValue="6500"/>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r:id="rId1" refreshedBy="Costa Matheus BRSP" refreshedDate="44015.887860648145" createdVersion="5" refreshedVersion="5" minRefreshableVersion="3" recordCount="185">
  <cacheSource type="worksheet">
    <worksheetSource name="ações2"/>
  </cacheSource>
  <cacheFields count="13">
    <cacheField name="DATA" numFmtId="16">
      <sharedItems containsSemiMixedTypes="0" containsNonDate="0" containsDate="1" containsString="0" minDate="2020-03-01T00:00:00" maxDate="2026-05-11T00:00:00" count="50">
        <d v="2020-03-01T00:00:00"/>
        <d v="2020-03-17T00:00:00"/>
        <d v="2020-03-19T00:00:00"/>
        <d v="2020-03-20T00:00:00"/>
        <d v="2020-03-23T00:00:00"/>
        <d v="2020-03-24T00:00:00"/>
        <d v="2020-03-25T00:00:00"/>
        <d v="2020-03-26T00:00:00"/>
        <d v="2020-03-27T00:00:00"/>
        <d v="2020-03-30T00:00:00"/>
        <d v="2020-03-31T00:00:00"/>
        <d v="2020-04-01T00:00:00"/>
        <d v="2020-04-03T00:00:00"/>
        <d v="2020-04-06T00:00:00"/>
        <d v="2020-04-07T00:00:00"/>
        <d v="2020-04-09T00:00:00"/>
        <d v="2020-04-13T00:00:00"/>
        <d v="2020-04-14T00:00:00"/>
        <d v="2020-04-15T00:00:00"/>
        <d v="2020-04-16T00:00:00"/>
        <d v="2020-04-17T00:00:00"/>
        <d v="2020-04-20T00:00:00"/>
        <d v="2020-04-22T00:00:00"/>
        <d v="2020-04-23T00:00:00"/>
        <d v="2020-04-24T00:00:00"/>
        <d v="2020-04-27T00:00:00"/>
        <d v="2020-04-29T00:00:00"/>
        <d v="2020-04-30T00:00:00"/>
        <d v="2020-05-05T00:00:00"/>
        <d v="2020-05-06T00:00:00"/>
        <d v="2020-05-07T00:00:00"/>
        <d v="2020-05-08T00:00:00"/>
        <d v="2020-05-12T00:00:00"/>
        <d v="2020-05-19T00:00:00"/>
        <d v="2020-05-21T00:00:00"/>
        <d v="2020-05-22T00:00:00"/>
        <d v="2020-05-26T00:00:00"/>
        <d v="2020-05-27T00:00:00"/>
        <d v="2020-05-29T00:00:00"/>
        <d v="2020-06-03T00:00:00"/>
        <d v="2020-06-05T00:00:00"/>
        <d v="2026-05-10T00:00:00"/>
        <d v="2020-06-15T00:00:00"/>
        <d v="2020-06-16T00:00:00"/>
        <d v="2020-06-22T00:00:00"/>
        <d v="2020-06-24T00:00:00"/>
        <d v="2020-06-26T00:00:00"/>
        <d v="2020-06-29T00:00:00"/>
        <d v="2020-07-02T00:00:00"/>
        <d v="2020-07-03T00:00:00"/>
      </sharedItems>
      <fieldGroup base="0">
        <rangePr groupBy="months" startDate="2020-03-01T00:00:00" endDate="2026-05-11T00:00:00"/>
        <groupItems count="14">
          <s v="&lt;01/03/2020"/>
          <s v="jan"/>
          <s v="fev"/>
          <s v="mar"/>
          <s v="abr"/>
          <s v="mai"/>
          <s v="jun"/>
          <s v="jul"/>
          <s v="ago"/>
          <s v="set"/>
          <s v="out"/>
          <s v="nov"/>
          <s v="dez"/>
          <s v="&gt;11/05/2026"/>
        </groupItems>
      </fieldGroup>
    </cacheField>
    <cacheField name="FATURAMENTO" numFmtId="16">
      <sharedItems containsBlank="1" count="4">
        <s v="N/A"/>
        <s v="LIQUIDADO"/>
        <s v="ANALISANDO"/>
        <m u="1"/>
      </sharedItems>
    </cacheField>
    <cacheField name="TIPO" numFmtId="16">
      <sharedItems containsBlank="1" count="4">
        <s v="AÇÃO"/>
        <s v="FUNDO"/>
        <m u="1"/>
        <s v="TESOURO" u="1"/>
      </sharedItems>
    </cacheField>
    <cacheField name="AÇÃO" numFmtId="0">
      <sharedItems/>
    </cacheField>
    <cacheField name="OPERAÇÃO" numFmtId="0">
      <sharedItems containsBlank="1" count="3">
        <s v="COMPRA"/>
        <s v="VENDA"/>
        <m u="1"/>
      </sharedItems>
    </cacheField>
    <cacheField name="QNTD" numFmtId="0">
      <sharedItems containsString="0" containsBlank="1" containsNumber="1" containsInteger="1" minValue="-14" maxValue="50"/>
    </cacheField>
    <cacheField name="PREÇO" numFmtId="44">
      <sharedItems containsString="0" containsBlank="1" containsNumber="1" minValue="3.4" maxValue="109"/>
    </cacheField>
    <cacheField name="VALOR" numFmtId="44">
      <sharedItems containsString="0" containsBlank="1" containsNumber="1" minValue="-124.03999999999999" maxValue="1741.54"/>
    </cacheField>
    <cacheField name="TAXAS" numFmtId="44">
      <sharedItems containsSemiMixedTypes="0" containsString="0" containsNumber="1" minValue="0" maxValue="0.37"/>
    </cacheField>
    <cacheField name="Media" numFmtId="0" formula="QNTD*#NAME?" databaseField="0"/>
    <cacheField name="Preço Medio" numFmtId="0" formula="VALOR/QNTD" databaseField="0"/>
    <cacheField name="Situação" numFmtId="0" formula="Media-VALOR" databaseField="0"/>
    <cacheField name="TOTAL" numFmtId="0" formula="VALOR+TAXAS" databaseField="0"/>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Costa Matheus BRSP" refreshedDate="44015.537148726849" backgroundQuery="1" createdVersion="3" refreshedVersion="5"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38">
    <cacheHierarchy uniqueName="[ações].[data]" caption="data" attribute="1" time="1" defaultMemberUniqueName="[ações].[data].[All]" allUniqueName="[ações].[data].[All]" dimensionUniqueName="[ações]" displayFolder="" count="0" memberValueDatatype="7" unbalanced="0"/>
    <cacheHierarchy uniqueName="[ações].[data D+2]" caption="data D+2" attribute="1" defaultMemberUniqueName="[ações].[data D+2].[All]" allUniqueName="[ações].[data D+2].[All]" dimensionUniqueName="[ações]" displayFolder="" count="0" memberValueDatatype="130" unbalanced="0"/>
    <cacheHierarchy uniqueName="[ações].[CORRETORA]" caption="CORRETORA" attribute="1" defaultMemberUniqueName="[ações].[CORRETORA].[All]" allUniqueName="[ações].[CORRETORA].[All]" dimensionUniqueName="[ações]" displayFolder="" count="0" memberValueDatatype="130" unbalanced="0"/>
    <cacheHierarchy uniqueName="[ações].[TIPO]" caption="TIPO" attribute="1" defaultMemberUniqueName="[ações].[TIPO].[All]" allUniqueName="[ações].[TIPO].[All]" dimensionUniqueName="[ações]" displayFolder="" count="0" memberValueDatatype="130" unbalanced="0"/>
    <cacheHierarchy uniqueName="[ações].[AÇÃO]" caption="AÇÃO" attribute="1" defaultMemberUniqueName="[ações].[AÇÃO].[All]" allUniqueName="[ações].[AÇÃO].[All]" dimensionUniqueName="[ações]" displayFolder="" count="0" memberValueDatatype="130" unbalanced="0"/>
    <cacheHierarchy uniqueName="[ações].[OPERAÇÃO]" caption="OPERAÇÃO" attribute="1" defaultMemberUniqueName="[ações].[OPERAÇÃO].[All]" allUniqueName="[ações].[OPERAÇÃO].[All]" dimensionUniqueName="[ações]" displayFolder="" count="0" memberValueDatatype="130" unbalanced="0"/>
    <cacheHierarchy uniqueName="[ações].[QNTD]" caption="QNTD" attribute="1" defaultMemberUniqueName="[ações].[QNTD].[All]" allUniqueName="[ações].[QNTD].[All]" dimensionUniqueName="[ações]" displayFolder="" count="0" memberValueDatatype="20" unbalanced="0"/>
    <cacheHierarchy uniqueName="[ações].[PREÇO]" caption="PREÇO" attribute="1" defaultMemberUniqueName="[ações].[PREÇO].[All]" allUniqueName="[ações].[PREÇO].[All]" dimensionUniqueName="[ações]" displayFolder="" count="0" memberValueDatatype="5" unbalanced="0"/>
    <cacheHierarchy uniqueName="[ações].[VALOR]" caption="VALOR" attribute="1" defaultMemberUniqueName="[ações].[VALOR].[All]" allUniqueName="[ações].[VALOR].[All]" dimensionUniqueName="[ações]" displayFolder="" count="0" memberValueDatatype="5" unbalanced="0"/>
    <cacheHierarchy uniqueName="[ações].[TAXAS]" caption="TAXAS" attribute="1" defaultMemberUniqueName="[ações].[TAXAS].[All]" allUniqueName="[ações].[TAXAS].[All]" dimensionUniqueName="[ações]" displayFolder="" count="0" memberValueDatatype="5" unbalanced="0"/>
    <cacheHierarchy uniqueName="[ações].[COTAÇÃO]" caption="COTAÇÃO" attribute="1" defaultMemberUniqueName="[ações].[COTAÇÃO].[All]" allUniqueName="[ações].[COTAÇÃO].[All]" dimensionUniqueName="[ações]" displayFolder="" count="0" memberValueDatatype="5" unbalanced="0"/>
    <cacheHierarchy uniqueName="[controle].[AÇÃO]" caption="AÇÃO" attribute="1" defaultMemberUniqueName="[controle].[AÇÃO].[All]" allUniqueName="[controle].[AÇÃO].[All]" dimensionUniqueName="[controle]" displayFolder="" count="0" memberValueDatatype="130" unbalanced="0"/>
    <cacheHierarchy uniqueName="[controle].[QNTD]" caption="QNTD" attribute="1" defaultMemberUniqueName="[controle].[QNTD].[All]" allUniqueName="[controle].[QNTD].[All]" dimensionUniqueName="[controle]" displayFolder="" count="0" memberValueDatatype="20" unbalanced="0"/>
    <cacheHierarchy uniqueName="[controle].[P. MEDIO]" caption="P. MEDIO" attribute="1" defaultMemberUniqueName="[controle].[P. MEDIO].[All]" allUniqueName="[controle].[P. MEDIO].[All]" dimensionUniqueName="[controle]" displayFolder="" count="0" memberValueDatatype="5" unbalanced="0"/>
    <cacheHierarchy uniqueName="[controle].[COTAÇÃO]" caption="COTAÇÃO" attribute="1" defaultMemberUniqueName="[controle].[COTAÇÃO].[All]" allUniqueName="[controle].[COTAÇÃO].[All]" dimensionUniqueName="[controle]" displayFolder="" count="0" memberValueDatatype="5" unbalanced="0"/>
    <cacheHierarchy uniqueName="[controle].[GASTO]" caption="GASTO" attribute="1" defaultMemberUniqueName="[controle].[GASTO].[All]" allUniqueName="[controle].[GASTO].[All]" dimensionUniqueName="[controle]" displayFolder="" count="0" memberValueDatatype="5" unbalanced="0"/>
    <cacheHierarchy uniqueName="[controle].[MERCADO]" caption="MERCADO" attribute="1" defaultMemberUniqueName="[controle].[MERCADO].[All]" allUniqueName="[controle].[MERCADO].[All]" dimensionUniqueName="[controle]" displayFolder="" count="0" memberValueDatatype="5" unbalanced="0"/>
    <cacheHierarchy uniqueName="[controle].[RESULTADO]" caption="RESULTADO" attribute="1" defaultMemberUniqueName="[controle].[RESULTADO].[All]" allUniqueName="[controle].[RESULTADO].[All]" dimensionUniqueName="[controle]" displayFolder="" count="0" memberValueDatatype="5" unbalanced="0"/>
    <cacheHierarchy uniqueName="[controle].[%]" caption="%" attribute="1" defaultMemberUniqueName="[controle].[%].[All]" allUniqueName="[controle].[%].[All]" dimensionUniqueName="[controle]" displayFolder="" count="0" memberValueDatatype="5" unbalanced="0"/>
    <cacheHierarchy uniqueName="[fundo].[Fundo]" caption="Fundo" attribute="1" defaultMemberUniqueName="[fundo].[Fundo].[All]" allUniqueName="[fundo].[Fundo].[All]" dimensionUniqueName="[fundo]" displayFolder="" count="0" memberValueDatatype="130" unbalanced="0"/>
    <cacheHierarchy uniqueName="[fundo].[Periodo]" caption="Periodo" attribute="1" time="1" defaultMemberUniqueName="[fundo].[Periodo].[All]" allUniqueName="[fundo].[Periodo].[All]" dimensionUniqueName="[fundo]" displayFolder="" count="2" memberValueDatatype="7" unbalanced="0"/>
    <cacheHierarchy uniqueName="[fundo].[Resultado]" caption="Resultado" attribute="1" defaultMemberUniqueName="[fundo].[Resultado].[All]" allUniqueName="[fundo].[Resultado].[All]" dimensionUniqueName="[fundo]" displayFolder="" count="0" memberValueDatatype="20" unbalanced="0"/>
    <cacheHierarchy uniqueName="[fundo].[Rendimento]" caption="Rendimento" attribute="1" defaultMemberUniqueName="[fundo].[Rendimento].[All]" allUniqueName="[fundo].[Rendimento].[All]" dimensionUniqueName="[fundo]" displayFolder="" count="0" memberValueDatatype="20" unbalanced="0"/>
    <cacheHierarchy uniqueName="[fundo].[Resul. Cota]" caption="Resul. Cota" attribute="1" defaultMemberUniqueName="[fundo].[Resul. Cota].[All]" allUniqueName="[fundo].[Resul. Cota].[All]" dimensionUniqueName="[fundo]" displayFolder="" count="0" memberValueDatatype="5" unbalanced="0"/>
    <cacheHierarchy uniqueName="[fundo].[Rend. Cota]" caption="Rend. Cota" attribute="1" defaultMemberUniqueName="[fundo].[Rend. Cota].[All]" allUniqueName="[fundo].[Rend. Cota].[All]" dimensionUniqueName="[fundo]" displayFolder="" count="0" memberValueDatatype="5" unbalanced="0"/>
    <cacheHierarchy uniqueName="[fundo].[Qntd. Cotas]" caption="Qntd. Cotas" attribute="1" defaultMemberUniqueName="[fundo].[Qntd. Cotas].[All]" allUniqueName="[fundo].[Qntd. Cotas].[All]" dimensionUniqueName="[fundo]" displayFolder="" count="0" memberValueDatatype="20" unbalanced="0"/>
    <cacheHierarchy uniqueName="[fundo].[P/VPA]" caption="P/VPA" attribute="1" defaultMemberUniqueName="[fundo].[P/VPA].[All]" allUniqueName="[fundo].[P/VPA].[All]" dimensionUniqueName="[fundo]" displayFolder="" count="0" memberValueDatatype="20" unbalanced="0"/>
    <cacheHierarchy uniqueName="[Measures].[Sum of QNTD]" caption="Sum of QNTD" measure="1" displayFolder="" measureGroup="controle" count="0">
      <extLst>
        <ext xmlns:x15="http://schemas.microsoft.com/office/spreadsheetml/2010/11/main" uri="{B97F6D7D-B522-45F9-BDA1-12C45D357490}">
          <x15:cacheHierarchy aggregatedColumn="12"/>
        </ext>
      </extLst>
    </cacheHierarchy>
    <cacheHierarchy uniqueName="[Measures].[Sum of Rend Cota]" caption="Sum of Rend Cota" measure="1" displayFolder="" measureGroup="fundo" count="0">
      <extLst>
        <ext xmlns:x15="http://schemas.microsoft.com/office/spreadsheetml/2010/11/main" uri="{B97F6D7D-B522-45F9-BDA1-12C45D357490}">
          <x15:cacheHierarchy aggregatedColumn="24"/>
        </ext>
      </extLst>
    </cacheHierarchy>
    <cacheHierarchy uniqueName="[Measures].[Sum of Resultado]" caption="Sum of Resultado" measure="1" displayFolder="" measureGroup="fundo" count="0">
      <extLst>
        <ext xmlns:x15="http://schemas.microsoft.com/office/spreadsheetml/2010/11/main" uri="{B97F6D7D-B522-45F9-BDA1-12C45D357490}">
          <x15:cacheHierarchy aggregatedColumn="21"/>
        </ext>
      </extLst>
    </cacheHierarchy>
    <cacheHierarchy uniqueName="[Measures].[Sum of Rendimento]" caption="Sum of Rendimento" measure="1" displayFolder="" measureGroup="fundo" count="0">
      <extLst>
        <ext xmlns:x15="http://schemas.microsoft.com/office/spreadsheetml/2010/11/main" uri="{B97F6D7D-B522-45F9-BDA1-12C45D357490}">
          <x15:cacheHierarchy aggregatedColumn="22"/>
        </ext>
      </extLst>
    </cacheHierarchy>
    <cacheHierarchy uniqueName="[Measures].[Sum of Qntd Cotas]" caption="Sum of Qntd Cotas" measure="1" displayFolder="" measureGroup="fundo" count="0">
      <extLst>
        <ext xmlns:x15="http://schemas.microsoft.com/office/spreadsheetml/2010/11/main" uri="{B97F6D7D-B522-45F9-BDA1-12C45D357490}">
          <x15:cacheHierarchy aggregatedColumn="25"/>
        </ext>
      </extLst>
    </cacheHierarchy>
    <cacheHierarchy uniqueName="[Measures].[Average of Rendimento]" caption="Average of Rendimento" measure="1" displayFolder="" measureGroup="fundo" count="0">
      <extLst>
        <ext xmlns:x15="http://schemas.microsoft.com/office/spreadsheetml/2010/11/main" uri="{B97F6D7D-B522-45F9-BDA1-12C45D357490}">
          <x15:cacheHierarchy aggregatedColumn="22"/>
        </ext>
      </extLst>
    </cacheHierarchy>
    <cacheHierarchy uniqueName="[Measures].[Average of Qntd Cotas]" caption="Average of Qntd Cotas" measure="1" displayFolder="" measureGroup="fundo" count="0">
      <extLst>
        <ext xmlns:x15="http://schemas.microsoft.com/office/spreadsheetml/2010/11/main" uri="{B97F6D7D-B522-45F9-BDA1-12C45D357490}">
          <x15:cacheHierarchy aggregatedColumn="25"/>
        </ext>
      </extLst>
    </cacheHierarchy>
    <cacheHierarchy uniqueName="[Measures].[__XL_Count ações]" caption="__XL_Count ações" measure="1" displayFolder="" measureGroup="ações" count="0" hidden="1"/>
    <cacheHierarchy uniqueName="[Measures].[__XL_Count controle]" caption="__XL_Count controle" measure="1" displayFolder="" measureGroup="controle" count="0" hidden="1"/>
    <cacheHierarchy uniqueName="[Measures].[__XL_Count fundo]" caption="__XL_Count fundo" measure="1" displayFolder="" measureGroup="fundo"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3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72">
  <r>
    <x v="0"/>
    <x v="0"/>
    <n v="10013078"/>
    <n v="7555619"/>
    <n v="0.89"/>
    <n v="0.67"/>
    <n v="15850000"/>
    <n v="683513419"/>
  </r>
  <r>
    <x v="0"/>
    <x v="1"/>
    <n v="10370463"/>
    <n v="8041617"/>
    <n v="0.92"/>
    <n v="0.7"/>
    <n v="15850000"/>
    <n v="683513419"/>
  </r>
  <r>
    <x v="0"/>
    <x v="2"/>
    <n v="6774601"/>
    <n v="8988734"/>
    <n v="0.6"/>
    <n v="0.7"/>
    <n v="15850000"/>
    <n v="683513419"/>
  </r>
  <r>
    <x v="0"/>
    <x v="3"/>
    <n v="19898481"/>
    <n v="12046000"/>
    <n v="1.26"/>
    <n v="0.76"/>
    <n v="15850000"/>
    <n v="683513419"/>
  </r>
  <r>
    <x v="0"/>
    <x v="4"/>
    <n v="16848563"/>
    <n v="14265000"/>
    <n v="1.06"/>
    <n v="0.9"/>
    <n v="15850000"/>
    <n v="683513419"/>
  </r>
  <r>
    <x v="0"/>
    <x v="5"/>
    <m/>
    <m/>
    <m/>
    <n v="1.08"/>
    <m/>
    <m/>
  </r>
  <r>
    <x v="0"/>
    <x v="6"/>
    <m/>
    <m/>
    <m/>
    <m/>
    <m/>
    <m/>
  </r>
  <r>
    <x v="0"/>
    <x v="7"/>
    <m/>
    <m/>
    <m/>
    <m/>
    <m/>
    <m/>
  </r>
  <r>
    <x v="0"/>
    <x v="8"/>
    <m/>
    <m/>
    <m/>
    <m/>
    <m/>
    <m/>
  </r>
  <r>
    <x v="0"/>
    <x v="9"/>
    <m/>
    <m/>
    <m/>
    <m/>
    <m/>
    <m/>
  </r>
  <r>
    <x v="0"/>
    <x v="10"/>
    <m/>
    <m/>
    <m/>
    <m/>
    <m/>
    <m/>
  </r>
  <r>
    <x v="0"/>
    <x v="11"/>
    <m/>
    <m/>
    <m/>
    <m/>
    <m/>
    <m/>
  </r>
  <r>
    <x v="1"/>
    <x v="0"/>
    <n v="2624167"/>
    <n v="2416997"/>
    <m/>
    <n v="0.81"/>
    <n v="5990397"/>
    <m/>
  </r>
  <r>
    <x v="1"/>
    <x v="1"/>
    <n v="4451612"/>
    <n v="3651066"/>
    <m/>
    <n v="0.84370000000000001"/>
    <n v="5990397"/>
    <m/>
  </r>
  <r>
    <x v="1"/>
    <x v="2"/>
    <n v="4632007"/>
    <n v="4122186"/>
    <m/>
    <n v="0.81"/>
    <n v="5990397"/>
    <m/>
  </r>
  <r>
    <x v="1"/>
    <x v="3"/>
    <n v="4325266"/>
    <n v="4401209"/>
    <m/>
    <n v="0.81"/>
    <n v="5990397"/>
    <m/>
  </r>
  <r>
    <x v="1"/>
    <x v="4"/>
    <n v="3930461"/>
    <n v="4568842"/>
    <m/>
    <n v="0.81"/>
    <n v="5990397"/>
    <m/>
  </r>
  <r>
    <x v="1"/>
    <x v="5"/>
    <m/>
    <m/>
    <m/>
    <n v="0.73509474413799281"/>
    <m/>
    <m/>
  </r>
  <r>
    <x v="1"/>
    <x v="6"/>
    <m/>
    <m/>
    <m/>
    <m/>
    <m/>
    <m/>
  </r>
  <r>
    <x v="1"/>
    <x v="7"/>
    <m/>
    <m/>
    <m/>
    <m/>
    <m/>
    <m/>
  </r>
  <r>
    <x v="1"/>
    <x v="8"/>
    <m/>
    <m/>
    <m/>
    <m/>
    <m/>
    <m/>
  </r>
  <r>
    <x v="1"/>
    <x v="9"/>
    <m/>
    <m/>
    <m/>
    <m/>
    <m/>
    <m/>
  </r>
  <r>
    <x v="1"/>
    <x v="10"/>
    <m/>
    <m/>
    <m/>
    <m/>
    <m/>
    <m/>
  </r>
  <r>
    <x v="1"/>
    <x v="11"/>
    <m/>
    <m/>
    <m/>
    <m/>
    <m/>
    <m/>
  </r>
  <r>
    <x v="2"/>
    <x v="0"/>
    <n v="6749300"/>
    <n v="6030497"/>
    <m/>
    <n v="0.08"/>
    <n v="122942210"/>
    <n v="1260331811"/>
  </r>
  <r>
    <x v="2"/>
    <x v="1"/>
    <n v="8743068"/>
    <n v="7065269"/>
    <m/>
    <n v="0.09"/>
    <n v="122942210"/>
    <n v="1260331811"/>
  </r>
  <r>
    <x v="2"/>
    <x v="2"/>
    <n v="5685671"/>
    <n v="7313392"/>
    <m/>
    <n v="0.08"/>
    <n v="122942210"/>
    <n v="1260331811"/>
  </r>
  <r>
    <x v="2"/>
    <x v="3"/>
    <n v="8590981"/>
    <n v="8605955"/>
    <m/>
    <n v="7.0000000000000007E-2"/>
    <n v="122942210"/>
    <n v="1260331811"/>
  </r>
  <r>
    <x v="2"/>
    <x v="4"/>
    <n v="7853402"/>
    <n v="8605955"/>
    <m/>
    <n v="7.0000000000000007E-2"/>
    <n v="122942210"/>
    <n v="1260331811"/>
  </r>
  <r>
    <x v="2"/>
    <x v="5"/>
    <m/>
    <m/>
    <m/>
    <n v="7.0000000000000007E-2"/>
    <m/>
    <m/>
  </r>
  <r>
    <x v="2"/>
    <x v="6"/>
    <m/>
    <m/>
    <m/>
    <m/>
    <m/>
    <m/>
  </r>
  <r>
    <x v="2"/>
    <x v="7"/>
    <m/>
    <m/>
    <m/>
    <m/>
    <m/>
    <m/>
  </r>
  <r>
    <x v="2"/>
    <x v="8"/>
    <m/>
    <m/>
    <m/>
    <m/>
    <m/>
    <m/>
  </r>
  <r>
    <x v="2"/>
    <x v="9"/>
    <m/>
    <m/>
    <m/>
    <m/>
    <m/>
    <m/>
  </r>
  <r>
    <x v="2"/>
    <x v="10"/>
    <m/>
    <m/>
    <m/>
    <m/>
    <m/>
    <m/>
  </r>
  <r>
    <x v="2"/>
    <x v="11"/>
    <m/>
    <m/>
    <m/>
    <m/>
    <m/>
    <m/>
  </r>
  <r>
    <x v="3"/>
    <x v="0"/>
    <n v="1912022"/>
    <n v="2246400"/>
    <m/>
    <n v="0.52"/>
    <n v="4320000"/>
    <m/>
  </r>
  <r>
    <x v="3"/>
    <x v="1"/>
    <n v="2378203"/>
    <n v="2246400"/>
    <m/>
    <n v="0.52"/>
    <n v="4320000"/>
    <m/>
  </r>
  <r>
    <x v="3"/>
    <x v="2"/>
    <n v="2422255"/>
    <n v="2160000"/>
    <m/>
    <n v="0.5"/>
    <n v="4320000"/>
    <m/>
  </r>
  <r>
    <x v="3"/>
    <x v="3"/>
    <n v="2320307"/>
    <n v="2160000"/>
    <m/>
    <n v="0.5"/>
    <n v="4320000"/>
    <m/>
  </r>
  <r>
    <x v="3"/>
    <x v="4"/>
    <n v="6218708"/>
    <n v="3456000"/>
    <m/>
    <n v="0.8"/>
    <n v="4320000"/>
    <m/>
  </r>
  <r>
    <x v="3"/>
    <x v="5"/>
    <m/>
    <m/>
    <m/>
    <n v="0.93"/>
    <m/>
    <m/>
  </r>
  <r>
    <x v="3"/>
    <x v="6"/>
    <m/>
    <m/>
    <m/>
    <m/>
    <m/>
    <m/>
  </r>
  <r>
    <x v="3"/>
    <x v="7"/>
    <m/>
    <m/>
    <m/>
    <m/>
    <m/>
    <m/>
  </r>
  <r>
    <x v="3"/>
    <x v="8"/>
    <m/>
    <m/>
    <m/>
    <m/>
    <m/>
    <m/>
  </r>
  <r>
    <x v="3"/>
    <x v="9"/>
    <m/>
    <m/>
    <m/>
    <m/>
    <m/>
    <m/>
  </r>
  <r>
    <x v="3"/>
    <x v="10"/>
    <m/>
    <m/>
    <m/>
    <m/>
    <m/>
    <m/>
  </r>
  <r>
    <x v="3"/>
    <x v="11"/>
    <m/>
    <m/>
    <m/>
    <m/>
    <m/>
    <m/>
  </r>
  <r>
    <x v="4"/>
    <x v="0"/>
    <n v="3127263"/>
    <n v="3107790"/>
    <n v="1.3"/>
    <n v="1.29"/>
    <n v="3828572"/>
    <m/>
  </r>
  <r>
    <x v="4"/>
    <x v="1"/>
    <n v="2944180"/>
    <n v="2919918"/>
    <n v="0.82"/>
    <n v="0.8"/>
    <n v="3828572"/>
    <m/>
  </r>
  <r>
    <x v="4"/>
    <x v="2"/>
    <n v="3666044"/>
    <n v="3177715"/>
    <n v="0.96"/>
    <n v="0.83"/>
    <n v="3828572"/>
    <m/>
  </r>
  <r>
    <x v="4"/>
    <x v="3"/>
    <n v="2487056"/>
    <n v="2718286"/>
    <n v="0.65"/>
    <n v="0.71"/>
    <n v="3828572"/>
    <m/>
  </r>
  <r>
    <x v="4"/>
    <x v="4"/>
    <n v="2390441"/>
    <n v="2680000"/>
    <n v="0.62"/>
    <n v="0.7"/>
    <n v="3828572"/>
    <m/>
  </r>
  <r>
    <x v="4"/>
    <x v="5"/>
    <m/>
    <m/>
    <m/>
    <n v="0.6"/>
    <m/>
    <m/>
  </r>
  <r>
    <x v="4"/>
    <x v="6"/>
    <m/>
    <m/>
    <m/>
    <m/>
    <m/>
    <m/>
  </r>
  <r>
    <x v="4"/>
    <x v="7"/>
    <m/>
    <m/>
    <m/>
    <m/>
    <m/>
    <m/>
  </r>
  <r>
    <x v="4"/>
    <x v="8"/>
    <m/>
    <m/>
    <m/>
    <m/>
    <m/>
    <m/>
  </r>
  <r>
    <x v="4"/>
    <x v="9"/>
    <m/>
    <m/>
    <m/>
    <m/>
    <m/>
    <m/>
  </r>
  <r>
    <x v="4"/>
    <x v="10"/>
    <m/>
    <m/>
    <m/>
    <m/>
    <m/>
    <m/>
  </r>
  <r>
    <x v="4"/>
    <x v="11"/>
    <m/>
    <m/>
    <m/>
    <m/>
    <m/>
    <m/>
  </r>
  <r>
    <x v="5"/>
    <x v="0"/>
    <n v="7431426"/>
    <n v="7403967"/>
    <m/>
    <n v="1.08"/>
    <n v="6856389"/>
    <n v="683513419"/>
  </r>
  <r>
    <x v="5"/>
    <x v="1"/>
    <n v="6813829"/>
    <n v="6855748"/>
    <m/>
    <n v="1"/>
    <n v="6856389"/>
    <n v="683513419"/>
  </r>
  <r>
    <x v="5"/>
    <x v="2"/>
    <n v="5522287"/>
    <n v="4799059"/>
    <m/>
    <n v="0.7"/>
    <n v="6856389"/>
    <n v="683513419"/>
  </r>
  <r>
    <x v="5"/>
    <x v="3"/>
    <n v="4911818"/>
    <n v="4799463"/>
    <m/>
    <n v="0.7"/>
    <n v="6856389"/>
    <n v="683513419"/>
  </r>
  <r>
    <x v="5"/>
    <x v="4"/>
    <n v="5351206"/>
    <n v="4799472"/>
    <m/>
    <n v="0.7"/>
    <n v="6856389"/>
    <n v="683513419"/>
  </r>
  <r>
    <x v="5"/>
    <x v="5"/>
    <m/>
    <m/>
    <m/>
    <n v="0.98436346887552606"/>
    <m/>
    <m/>
  </r>
  <r>
    <x v="5"/>
    <x v="6"/>
    <m/>
    <m/>
    <m/>
    <m/>
    <m/>
    <m/>
  </r>
  <r>
    <x v="5"/>
    <x v="7"/>
    <m/>
    <m/>
    <m/>
    <m/>
    <m/>
    <m/>
  </r>
  <r>
    <x v="5"/>
    <x v="8"/>
    <m/>
    <m/>
    <m/>
    <m/>
    <m/>
    <m/>
  </r>
  <r>
    <x v="5"/>
    <x v="9"/>
    <m/>
    <m/>
    <m/>
    <m/>
    <m/>
    <m/>
  </r>
  <r>
    <x v="5"/>
    <x v="10"/>
    <m/>
    <m/>
    <m/>
    <m/>
    <m/>
    <m/>
  </r>
  <r>
    <x v="5"/>
    <x v="11"/>
    <m/>
    <m/>
    <m/>
    <m/>
    <m/>
    <m/>
  </r>
</pivotCacheRecords>
</file>

<file path=xl/pivotCache/pivotCacheRecords2.xml><?xml version="1.0" encoding="utf-8"?>
<pivotCacheRecords xmlns="http://schemas.openxmlformats.org/spreadsheetml/2006/main" xmlns:r="http://schemas.openxmlformats.org/officeDocument/2006/relationships" count="52">
  <r>
    <x v="0"/>
    <d v="2020-04-08T00:00:00"/>
    <s v="ABR"/>
    <x v="0"/>
    <s v="BIDI4F"/>
    <s v="JCP"/>
    <n v="5"/>
    <n v="0.02"/>
    <n v="0.1"/>
  </r>
  <r>
    <x v="1"/>
    <d v="2020-04-06T00:00:00"/>
    <s v="ABR"/>
    <x v="1"/>
    <s v="BOLETO"/>
    <s v="ACADEMIA"/>
    <n v="1"/>
    <n v="-29.9"/>
    <n v="-29.9"/>
  </r>
  <r>
    <x v="1"/>
    <d v="2020-04-10T00:00:00"/>
    <s v="ABR"/>
    <x v="1"/>
    <s v="BOLETO"/>
    <s v="TIM"/>
    <n v="1"/>
    <n v="-44.99"/>
    <n v="-44.99"/>
  </r>
  <r>
    <x v="2"/>
    <d v="2020-04-25T00:00:00"/>
    <s v="ABR"/>
    <x v="0"/>
    <s v="BIDI4F"/>
    <s v="SELL"/>
    <n v="8"/>
    <n v="9.75"/>
    <n v="1.1359999999999957"/>
  </r>
  <r>
    <x v="3"/>
    <d v="2020-04-25T00:00:00"/>
    <s v="ABR"/>
    <x v="1"/>
    <s v="BOLETO"/>
    <s v="MAE"/>
    <n v="1"/>
    <n v="-400"/>
    <n v="-400"/>
  </r>
  <r>
    <x v="3"/>
    <d v="2020-04-25T00:00:00"/>
    <s v="ABR"/>
    <x v="1"/>
    <s v="BOLETO"/>
    <s v="GABRIEL"/>
    <n v="1"/>
    <n v="0.1"/>
    <n v="0.1"/>
  </r>
  <r>
    <x v="2"/>
    <d v="2020-04-23T00:00:00"/>
    <s v="ABR"/>
    <x v="1"/>
    <s v="BOLETO"/>
    <s v="GABRIEL"/>
    <n v="1"/>
    <n v="-40"/>
    <n v="-40"/>
  </r>
  <r>
    <x v="3"/>
    <d v="2020-04-27T00:00:00"/>
    <s v="ABR"/>
    <x v="1"/>
    <s v="BOLETO"/>
    <s v="MAE"/>
    <n v="1"/>
    <n v="-20"/>
    <n v="-20"/>
  </r>
  <r>
    <x v="4"/>
    <d v="2020-03-01T00:00:00"/>
    <s v="MAR"/>
    <x v="2"/>
    <s v="BOLETO"/>
    <s v="MATHEUS"/>
    <n v="1"/>
    <n v="16"/>
    <n v="16"/>
  </r>
  <r>
    <x v="4"/>
    <d v="2020-03-01T00:00:00"/>
    <s v="MAR"/>
    <x v="2"/>
    <s v="BOLETO"/>
    <s v="MATHEUS"/>
    <n v="1"/>
    <n v="20"/>
    <n v="20"/>
  </r>
  <r>
    <x v="4"/>
    <d v="2020-03-01T00:00:00"/>
    <s v="MAR"/>
    <x v="2"/>
    <s v="BOLETO"/>
    <s v="MATHEUS"/>
    <n v="1"/>
    <n v="32"/>
    <n v="32"/>
  </r>
  <r>
    <x v="4"/>
    <d v="2020-03-01T00:00:00"/>
    <s v="MAR"/>
    <x v="2"/>
    <s v="BOLETO"/>
    <s v="MATHEUS"/>
    <n v="1"/>
    <n v="275"/>
    <n v="275"/>
  </r>
  <r>
    <x v="4"/>
    <d v="2020-03-01T00:00:00"/>
    <s v="MAR"/>
    <x v="2"/>
    <s v="BOLETO"/>
    <s v="MATHEUS"/>
    <n v="1"/>
    <n v="4.9800000000000004"/>
    <n v="4.9800000000000004"/>
  </r>
  <r>
    <x v="4"/>
    <d v="2020-03-01T00:00:00"/>
    <s v="MAR"/>
    <x v="2"/>
    <s v="BOLETO"/>
    <s v="MATHEUS"/>
    <n v="1"/>
    <n v="100"/>
    <n v="100"/>
  </r>
  <r>
    <x v="4"/>
    <d v="2020-03-01T00:00:00"/>
    <s v="MAR"/>
    <x v="2"/>
    <s v="BOLETO"/>
    <s v="MATHEUS"/>
    <n v="1"/>
    <n v="150"/>
    <n v="150"/>
  </r>
  <r>
    <x v="4"/>
    <d v="2020-03-01T00:00:00"/>
    <s v="MAR"/>
    <x v="2"/>
    <s v="BOLETO"/>
    <s v="MATHEUS"/>
    <n v="1"/>
    <n v="380"/>
    <n v="380"/>
  </r>
  <r>
    <x v="5"/>
    <d v="2020-04-07T00:00:00"/>
    <s v="ABR"/>
    <x v="2"/>
    <s v="BOLETO"/>
    <s v="MATHEUS"/>
    <n v="1"/>
    <n v="100"/>
    <n v="100"/>
  </r>
  <r>
    <x v="6"/>
    <d v="2020-04-13T00:00:00"/>
    <s v="ABR"/>
    <x v="2"/>
    <s v="BOLETO"/>
    <s v="MATHEUS"/>
    <n v="1"/>
    <n v="100"/>
    <n v="100"/>
  </r>
  <r>
    <x v="6"/>
    <d v="2020-04-13T00:00:00"/>
    <s v="ABR"/>
    <x v="2"/>
    <s v="BOLETO"/>
    <s v="MATHEUS"/>
    <n v="1"/>
    <n v="253"/>
    <n v="253"/>
  </r>
  <r>
    <x v="7"/>
    <d v="2020-04-15T00:00:00"/>
    <s v="ABR"/>
    <x v="2"/>
    <s v="BOLETO"/>
    <s v="MATHEUS"/>
    <n v="1"/>
    <n v="250"/>
    <n v="250"/>
  </r>
  <r>
    <x v="8"/>
    <d v="2020-04-16T00:00:00"/>
    <s v="ABR"/>
    <x v="2"/>
    <s v="BOLETO"/>
    <s v="MATHEUS"/>
    <n v="1"/>
    <n v="1000"/>
    <n v="1000"/>
  </r>
  <r>
    <x v="8"/>
    <d v="2020-04-16T00:00:00"/>
    <s v="ABR"/>
    <x v="2"/>
    <s v="BOLETO"/>
    <s v="MATHEUS"/>
    <n v="1"/>
    <n v="3000"/>
    <n v="3000"/>
  </r>
  <r>
    <x v="9"/>
    <d v="2020-04-27T00:00:00"/>
    <s v="ABR"/>
    <x v="2"/>
    <s v="BOLETO"/>
    <s v="MATHEUS"/>
    <n v="1"/>
    <n v="500.02"/>
    <n v="500.02"/>
  </r>
  <r>
    <x v="10"/>
    <d v="2020-05-04T00:00:00"/>
    <s v="MAI"/>
    <x v="2"/>
    <s v="BOLETO"/>
    <s v="GABRIEL"/>
    <n v="1"/>
    <n v="40"/>
    <n v="40"/>
  </r>
  <r>
    <x v="11"/>
    <d v="2020-05-06T00:00:00"/>
    <s v="MAI"/>
    <x v="2"/>
    <s v="BOLETO"/>
    <s v="MATHEUS"/>
    <n v="1"/>
    <n v="200"/>
    <n v="200"/>
  </r>
  <r>
    <x v="12"/>
    <d v="2020-04-28T00:00:00"/>
    <s v="ABR"/>
    <x v="1"/>
    <s v="DAYTRADE"/>
    <s v="MATHEUS"/>
    <n v="1"/>
    <n v="-52"/>
    <n v="-52"/>
  </r>
  <r>
    <x v="13"/>
    <d v="2020-05-01T00:00:00"/>
    <s v="MAI"/>
    <x v="3"/>
    <s v="BOLETO"/>
    <s v="MATHEUS"/>
    <n v="1"/>
    <n v="6500"/>
    <n v="6500"/>
  </r>
  <r>
    <x v="14"/>
    <d v="2020-05-08T00:00:00"/>
    <s v="MAI"/>
    <x v="2"/>
    <s v="BOLETO"/>
    <s v="MATHEUS"/>
    <n v="1"/>
    <n v="200"/>
    <n v="200"/>
  </r>
  <r>
    <x v="15"/>
    <d v="2020-04-01T00:00:00"/>
    <s v="MAI"/>
    <x v="3"/>
    <s v="BOLETO"/>
    <s v="MATHEUS"/>
    <n v="1"/>
    <n v="5402.34"/>
    <n v="5402.34"/>
  </r>
  <r>
    <x v="16"/>
    <d v="2020-05-14T00:00:00"/>
    <s v="MAI"/>
    <x v="2"/>
    <s v="BOLETO"/>
    <s v="MATHEUS"/>
    <n v="1"/>
    <n v="140"/>
    <n v="140"/>
  </r>
  <r>
    <x v="17"/>
    <d v="2020-05-15T00:00:00"/>
    <s v="MAI"/>
    <x v="0"/>
    <s v="RECT11"/>
    <s v="REND"/>
    <n v="33"/>
    <n v="0.81"/>
    <n v="26.73"/>
  </r>
  <r>
    <x v="17"/>
    <d v="2020-05-15T00:00:00"/>
    <s v="MAI"/>
    <x v="0"/>
    <s v="MXRF11"/>
    <s v="REND"/>
    <n v="95"/>
    <n v="7.0000000000000007E-2"/>
    <n v="6.65"/>
  </r>
  <r>
    <x v="18"/>
    <d v="2020-05-21T00:00:00"/>
    <s v="MAI"/>
    <x v="0"/>
    <s v="BIDI4F"/>
    <s v="SELL"/>
    <n v="14"/>
    <n v="9.8000000000000007"/>
    <n v="13.160000000000025"/>
  </r>
  <r>
    <x v="19"/>
    <d v="2020-05-29T00:00:00"/>
    <s v="MAI"/>
    <x v="0"/>
    <s v="GGBR3F"/>
    <s v="SELL"/>
    <n v="6"/>
    <n v="10.8"/>
    <n v="9.3600000000000136"/>
  </r>
  <r>
    <x v="19"/>
    <d v="2020-05-28T00:00:00"/>
    <s v="MAI"/>
    <x v="2"/>
    <s v="BOLETO"/>
    <s v="MATHEUS"/>
    <n v="1"/>
    <n v="800"/>
    <n v="800"/>
  </r>
  <r>
    <x v="20"/>
    <d v="2020-05-29T00:00:00"/>
    <s v="MAI"/>
    <x v="0"/>
    <s v="USIM5"/>
    <s v="REND"/>
    <n v="16"/>
    <n v="4.2999999999999997E-2"/>
    <n v="0.68799999999999994"/>
  </r>
  <r>
    <x v="21"/>
    <d v="2020-06-01T00:00:00"/>
    <s v="JUN"/>
    <x v="0"/>
    <s v="ITUB4"/>
    <s v="REND"/>
    <n v="1"/>
    <n v="0.13"/>
    <n v="0.13"/>
  </r>
  <r>
    <x v="22"/>
    <d v="2020-06-05T00:00:00"/>
    <s v="JUN"/>
    <x v="2"/>
    <s v="BOLETO"/>
    <s v="MATHEUS"/>
    <n v="1"/>
    <n v="85"/>
    <n v="85"/>
  </r>
  <r>
    <x v="23"/>
    <d v="2020-04-09T00:00:00"/>
    <s v="ABR"/>
    <x v="0"/>
    <s v="SELIC"/>
    <s v="SELL"/>
    <n v="1"/>
    <n v="3.73"/>
    <n v="3.73"/>
  </r>
  <r>
    <x v="24"/>
    <d v="2020-06-09T00:00:00"/>
    <s v="JUN"/>
    <x v="2"/>
    <s v="BOLETO"/>
    <s v="MATHEUS"/>
    <n v="1"/>
    <n v="70"/>
    <n v="70"/>
  </r>
  <r>
    <x v="25"/>
    <d v="2020-06-15T00:00:00"/>
    <s v="JUN"/>
    <x v="2"/>
    <s v="BOLETO"/>
    <s v="MATHEUS"/>
    <n v="1"/>
    <n v="40"/>
    <n v="40"/>
  </r>
  <r>
    <x v="21"/>
    <d v="2020-06-15T00:00:00"/>
    <s v="JUN"/>
    <x v="0"/>
    <s v="RECT11"/>
    <s v="REND"/>
    <n v="33"/>
    <n v="0.81"/>
    <n v="26.73"/>
  </r>
  <r>
    <x v="21"/>
    <d v="2020-06-15T00:00:00"/>
    <s v="JUN"/>
    <x v="0"/>
    <s v="MXRF11"/>
    <s v="REND"/>
    <n v="95"/>
    <n v="7.0000000000000007E-2"/>
    <n v="6.65"/>
  </r>
  <r>
    <x v="21"/>
    <d v="2020-06-15T00:00:00"/>
    <s v="JUN"/>
    <x v="0"/>
    <s v="HFOF11"/>
    <s v="REND"/>
    <n v="5"/>
    <n v="0.9"/>
    <n v="4.5"/>
  </r>
  <r>
    <x v="26"/>
    <d v="2020-06-17T00:00:00"/>
    <s v="JUN"/>
    <x v="2"/>
    <s v="BOLETO"/>
    <s v="MATHEUS"/>
    <n v="1"/>
    <n v="600"/>
    <n v="600"/>
  </r>
  <r>
    <x v="27"/>
    <d v="2020-06-22T00:00:00"/>
    <s v="JUN"/>
    <x v="2"/>
    <s v="BOLETO"/>
    <s v="MATHEUS"/>
    <n v="1"/>
    <n v="150"/>
    <n v="150"/>
  </r>
  <r>
    <x v="28"/>
    <d v="2020-06-26T00:00:00"/>
    <s v="JUN"/>
    <x v="2"/>
    <s v="BOLETO"/>
    <s v="MATHEUS"/>
    <n v="1"/>
    <n v="30"/>
    <n v="30"/>
  </r>
  <r>
    <x v="28"/>
    <d v="2020-06-26T00:00:00"/>
    <s v="JUN"/>
    <x v="2"/>
    <s v="BOLETO"/>
    <s v="MATHEUS"/>
    <n v="1"/>
    <n v="25"/>
    <n v="25"/>
  </r>
  <r>
    <x v="29"/>
    <d v="2020-06-30T00:00:00"/>
    <s v="JUN"/>
    <x v="2"/>
    <s v="BOLETO"/>
    <s v="MATHEUS"/>
    <n v="1"/>
    <n v="505"/>
    <n v="505"/>
  </r>
  <r>
    <x v="30"/>
    <d v="2020-07-01T00:00:00"/>
    <s v="JUL"/>
    <x v="0"/>
    <s v="ITUB4"/>
    <s v="REND"/>
    <n v="1"/>
    <n v="0.13"/>
    <n v="0.13"/>
  </r>
  <r>
    <x v="30"/>
    <d v="2020-07-01T00:00:00"/>
    <s v="JUL"/>
    <x v="0"/>
    <s v="ITSA4"/>
    <s v="REND"/>
    <n v="1"/>
    <n v="1.5"/>
    <n v="1.5"/>
  </r>
  <r>
    <x v="30"/>
    <d v="2020-07-01T00:00:00"/>
    <s v="JUL"/>
    <x v="2"/>
    <s v="BOLETO"/>
    <s v="MATHEUS"/>
    <n v="1"/>
    <n v="300"/>
    <n v="300"/>
  </r>
</pivotCacheRecords>
</file>

<file path=xl/pivotCache/pivotCacheRecords3.xml><?xml version="1.0" encoding="utf-8"?>
<pivotCacheRecords xmlns="http://schemas.openxmlformats.org/spreadsheetml/2006/main" xmlns:r="http://schemas.openxmlformats.org/officeDocument/2006/relationships" count="185">
  <r>
    <x v="0"/>
    <x v="0"/>
    <x v="0"/>
    <s v="BIDI4F"/>
    <x v="0"/>
    <m/>
    <m/>
    <m/>
    <n v="0"/>
  </r>
  <r>
    <x v="0"/>
    <x v="0"/>
    <x v="0"/>
    <s v="CMIG4F"/>
    <x v="0"/>
    <m/>
    <m/>
    <m/>
    <n v="0"/>
  </r>
  <r>
    <x v="0"/>
    <x v="0"/>
    <x v="0"/>
    <s v="CSNA3F"/>
    <x v="0"/>
    <m/>
    <m/>
    <m/>
    <n v="0"/>
  </r>
  <r>
    <x v="0"/>
    <x v="0"/>
    <x v="0"/>
    <s v="GGBR3F"/>
    <x v="0"/>
    <m/>
    <m/>
    <m/>
    <n v="0"/>
  </r>
  <r>
    <x v="0"/>
    <x v="0"/>
    <x v="0"/>
    <s v="IRBR3F"/>
    <x v="0"/>
    <m/>
    <m/>
    <m/>
    <n v="0"/>
  </r>
  <r>
    <x v="0"/>
    <x v="0"/>
    <x v="0"/>
    <s v="ITSA4F"/>
    <x v="0"/>
    <m/>
    <m/>
    <m/>
    <n v="0"/>
  </r>
  <r>
    <x v="0"/>
    <x v="0"/>
    <x v="0"/>
    <s v="ITUB4F"/>
    <x v="0"/>
    <m/>
    <m/>
    <m/>
    <n v="0"/>
  </r>
  <r>
    <x v="0"/>
    <x v="0"/>
    <x v="0"/>
    <s v="JHSF3F"/>
    <x v="0"/>
    <m/>
    <m/>
    <m/>
    <n v="0"/>
  </r>
  <r>
    <x v="0"/>
    <x v="0"/>
    <x v="0"/>
    <s v="MRVE3F"/>
    <x v="0"/>
    <m/>
    <m/>
    <m/>
    <n v="0"/>
  </r>
  <r>
    <x v="0"/>
    <x v="0"/>
    <x v="0"/>
    <s v="ROMI3F"/>
    <x v="0"/>
    <m/>
    <m/>
    <m/>
    <n v="0"/>
  </r>
  <r>
    <x v="0"/>
    <x v="0"/>
    <x v="0"/>
    <s v="SAPR4F"/>
    <x v="0"/>
    <m/>
    <m/>
    <m/>
    <n v="0"/>
  </r>
  <r>
    <x v="0"/>
    <x v="0"/>
    <x v="0"/>
    <s v="USIM5F"/>
    <x v="0"/>
    <m/>
    <m/>
    <m/>
    <n v="0"/>
  </r>
  <r>
    <x v="0"/>
    <x v="0"/>
    <x v="0"/>
    <s v="WIZS3F"/>
    <x v="0"/>
    <m/>
    <m/>
    <m/>
    <n v="0"/>
  </r>
  <r>
    <x v="0"/>
    <x v="0"/>
    <x v="1"/>
    <s v="RECT11"/>
    <x v="0"/>
    <m/>
    <m/>
    <m/>
    <n v="0"/>
  </r>
  <r>
    <x v="0"/>
    <x v="0"/>
    <x v="1"/>
    <s v="MXRF11"/>
    <x v="0"/>
    <m/>
    <m/>
    <m/>
    <n v="0"/>
  </r>
  <r>
    <x v="1"/>
    <x v="1"/>
    <x v="0"/>
    <s v="BIDI4F"/>
    <x v="1"/>
    <n v="1"/>
    <n v="7.96"/>
    <n v="7.96"/>
    <n v="0"/>
  </r>
  <r>
    <x v="2"/>
    <x v="1"/>
    <x v="0"/>
    <s v="BIDI4F"/>
    <x v="1"/>
    <n v="1"/>
    <n v="6.95"/>
    <n v="6.95"/>
    <n v="0"/>
  </r>
  <r>
    <x v="3"/>
    <x v="1"/>
    <x v="0"/>
    <s v="MRVE3F"/>
    <x v="0"/>
    <n v="1"/>
    <n v="11.3"/>
    <n v="11.3"/>
    <n v="0"/>
  </r>
  <r>
    <x v="4"/>
    <x v="1"/>
    <x v="0"/>
    <s v="MRVE3F"/>
    <x v="0"/>
    <n v="1"/>
    <n v="10.59"/>
    <n v="10.59"/>
    <n v="0"/>
  </r>
  <r>
    <x v="5"/>
    <x v="1"/>
    <x v="0"/>
    <s v="IRBR3F"/>
    <x v="0"/>
    <n v="4"/>
    <n v="7.61"/>
    <n v="30.44"/>
    <n v="0.01"/>
  </r>
  <r>
    <x v="5"/>
    <x v="1"/>
    <x v="0"/>
    <s v="ITSA4F"/>
    <x v="0"/>
    <n v="2"/>
    <n v="8.11"/>
    <n v="16.22"/>
    <n v="0"/>
  </r>
  <r>
    <x v="6"/>
    <x v="1"/>
    <x v="0"/>
    <s v="ITSA4F"/>
    <x v="0"/>
    <n v="2"/>
    <n v="8.06"/>
    <n v="16.12"/>
    <n v="0"/>
  </r>
  <r>
    <x v="6"/>
    <x v="1"/>
    <x v="0"/>
    <s v="ITSA4F"/>
    <x v="0"/>
    <n v="2"/>
    <n v="8.23"/>
    <n v="16.46"/>
    <n v="0.01"/>
  </r>
  <r>
    <x v="6"/>
    <x v="1"/>
    <x v="0"/>
    <s v="ITSA4F"/>
    <x v="0"/>
    <n v="2"/>
    <n v="8.2200000000000006"/>
    <n v="16.440000000000001"/>
    <n v="0"/>
  </r>
  <r>
    <x v="6"/>
    <x v="1"/>
    <x v="0"/>
    <s v="IRBR3F"/>
    <x v="0"/>
    <n v="1"/>
    <n v="7.98"/>
    <n v="7.98"/>
    <n v="0"/>
  </r>
  <r>
    <x v="7"/>
    <x v="1"/>
    <x v="0"/>
    <s v="WIZS3F"/>
    <x v="0"/>
    <n v="5"/>
    <n v="8.5500000000000007"/>
    <n v="42.75"/>
    <n v="0"/>
  </r>
  <r>
    <x v="7"/>
    <x v="1"/>
    <x v="0"/>
    <s v="WIZS3F"/>
    <x v="0"/>
    <n v="5"/>
    <n v="8.98"/>
    <n v="44.900000000000006"/>
    <n v="0.01"/>
  </r>
  <r>
    <x v="7"/>
    <x v="1"/>
    <x v="0"/>
    <s v="ITSA4F"/>
    <x v="0"/>
    <n v="3"/>
    <n v="9.02"/>
    <n v="27.06"/>
    <n v="0.01"/>
  </r>
  <r>
    <x v="7"/>
    <x v="1"/>
    <x v="0"/>
    <s v="WIZS3F"/>
    <x v="0"/>
    <n v="5"/>
    <n v="8.77"/>
    <n v="43.849999999999994"/>
    <n v="0.01"/>
  </r>
  <r>
    <x v="7"/>
    <x v="1"/>
    <x v="0"/>
    <s v="WIZS3F"/>
    <x v="0"/>
    <n v="2"/>
    <n v="8.65"/>
    <n v="17.3"/>
    <n v="0.01"/>
  </r>
  <r>
    <x v="7"/>
    <x v="1"/>
    <x v="0"/>
    <s v="WIZS3F"/>
    <x v="0"/>
    <n v="3"/>
    <n v="8.35"/>
    <n v="25.049999999999997"/>
    <n v="0.01"/>
  </r>
  <r>
    <x v="8"/>
    <x v="1"/>
    <x v="0"/>
    <s v="BIDI4F"/>
    <x v="1"/>
    <n v="3"/>
    <n v="10.7"/>
    <n v="32.099999999999994"/>
    <n v="0.01"/>
  </r>
  <r>
    <x v="8"/>
    <x v="1"/>
    <x v="0"/>
    <s v="ITSA4F"/>
    <x v="0"/>
    <n v="3"/>
    <n v="8.6"/>
    <n v="25.799999999999997"/>
    <n v="0.01"/>
  </r>
  <r>
    <x v="8"/>
    <x v="1"/>
    <x v="0"/>
    <s v="IRBR3F"/>
    <x v="0"/>
    <n v="3"/>
    <n v="9.5"/>
    <n v="28.5"/>
    <n v="0"/>
  </r>
  <r>
    <x v="9"/>
    <x v="1"/>
    <x v="0"/>
    <s v="WIZS3F"/>
    <x v="0"/>
    <n v="5"/>
    <n v="9.24"/>
    <n v="46.2"/>
    <n v="0.01"/>
  </r>
  <r>
    <x v="9"/>
    <x v="1"/>
    <x v="0"/>
    <s v="WIZS3F"/>
    <x v="0"/>
    <n v="5"/>
    <n v="9.15"/>
    <n v="45.75"/>
    <n v="0.01"/>
  </r>
  <r>
    <x v="10"/>
    <x v="1"/>
    <x v="0"/>
    <s v="MRVE3F"/>
    <x v="0"/>
    <n v="3"/>
    <n v="12.58"/>
    <n v="37.74"/>
    <n v="0.01"/>
  </r>
  <r>
    <x v="10"/>
    <x v="1"/>
    <x v="0"/>
    <s v="WIZS3F"/>
    <x v="0"/>
    <n v="5"/>
    <n v="9.15"/>
    <n v="45.75"/>
    <n v="0.01"/>
  </r>
  <r>
    <x v="11"/>
    <x v="1"/>
    <x v="0"/>
    <s v="BIDI4F"/>
    <x v="1"/>
    <n v="3"/>
    <n v="9.9499999999999993"/>
    <n v="29.849999999999998"/>
    <n v="0.01"/>
  </r>
  <r>
    <x v="11"/>
    <x v="1"/>
    <x v="0"/>
    <s v="IRBR3F"/>
    <x v="0"/>
    <n v="2"/>
    <n v="8.93"/>
    <n v="17.86"/>
    <n v="0.01"/>
  </r>
  <r>
    <x v="11"/>
    <x v="1"/>
    <x v="0"/>
    <s v="GGBR3F"/>
    <x v="0"/>
    <n v="3"/>
    <n v="8.6"/>
    <n v="25.799999999999997"/>
    <n v="0.01"/>
  </r>
  <r>
    <x v="11"/>
    <x v="1"/>
    <x v="0"/>
    <s v="ITUB4F"/>
    <x v="0"/>
    <n v="2"/>
    <n v="21.49"/>
    <n v="42.98"/>
    <n v="0"/>
  </r>
  <r>
    <x v="12"/>
    <x v="1"/>
    <x v="0"/>
    <s v="ITSA4F"/>
    <x v="0"/>
    <n v="5"/>
    <n v="8.1999999999999993"/>
    <n v="41"/>
    <n v="0"/>
  </r>
  <r>
    <x v="12"/>
    <x v="1"/>
    <x v="0"/>
    <s v="ITUB4F"/>
    <x v="0"/>
    <n v="2"/>
    <n v="20.85"/>
    <n v="41.7"/>
    <n v="0"/>
  </r>
  <r>
    <x v="12"/>
    <x v="1"/>
    <x v="0"/>
    <s v="ITUB4F"/>
    <x v="0"/>
    <n v="1"/>
    <n v="20.78"/>
    <n v="20.78"/>
    <n v="0.01"/>
  </r>
  <r>
    <x v="12"/>
    <x v="1"/>
    <x v="0"/>
    <s v="ITSA4F"/>
    <x v="0"/>
    <n v="2"/>
    <n v="8.14"/>
    <n v="16.28"/>
    <n v="0.01"/>
  </r>
  <r>
    <x v="12"/>
    <x v="1"/>
    <x v="0"/>
    <s v="WIZS3F"/>
    <x v="0"/>
    <n v="3"/>
    <n v="9"/>
    <n v="27"/>
    <n v="0.01"/>
  </r>
  <r>
    <x v="12"/>
    <x v="1"/>
    <x v="0"/>
    <s v="ITSA4F"/>
    <x v="0"/>
    <n v="5"/>
    <n v="8.1"/>
    <n v="40.5"/>
    <n v="0.01"/>
  </r>
  <r>
    <x v="12"/>
    <x v="1"/>
    <x v="0"/>
    <s v="ITUB4F"/>
    <x v="0"/>
    <n v="2"/>
    <n v="20.350000000000001"/>
    <n v="40.700000000000003"/>
    <n v="0.01"/>
  </r>
  <r>
    <x v="12"/>
    <x v="1"/>
    <x v="0"/>
    <s v="CSNA3F"/>
    <x v="0"/>
    <n v="3"/>
    <n v="6.15"/>
    <n v="18.450000000000003"/>
    <n v="0.01"/>
  </r>
  <r>
    <x v="13"/>
    <x v="1"/>
    <x v="0"/>
    <s v="USIM5F"/>
    <x v="0"/>
    <n v="2"/>
    <n v="4.1399999999999997"/>
    <n v="8.2799999999999994"/>
    <n v="0"/>
  </r>
  <r>
    <x v="13"/>
    <x v="1"/>
    <x v="0"/>
    <s v="USIM5F"/>
    <x v="0"/>
    <n v="3"/>
    <n v="4.0999999999999996"/>
    <n v="12.299999999999999"/>
    <n v="0"/>
  </r>
  <r>
    <x v="14"/>
    <x v="1"/>
    <x v="0"/>
    <s v="USIM5F"/>
    <x v="0"/>
    <n v="3"/>
    <n v="4.29"/>
    <n v="12.870000000000001"/>
    <n v="0"/>
  </r>
  <r>
    <x v="14"/>
    <x v="1"/>
    <x v="0"/>
    <s v="JHSF3F"/>
    <x v="0"/>
    <n v="2"/>
    <n v="3.4"/>
    <n v="6.8"/>
    <n v="0"/>
  </r>
  <r>
    <x v="14"/>
    <x v="1"/>
    <x v="0"/>
    <s v="USIM5F"/>
    <x v="0"/>
    <n v="3"/>
    <n v="4.18"/>
    <n v="12.54"/>
    <n v="0"/>
  </r>
  <r>
    <x v="15"/>
    <x v="1"/>
    <x v="0"/>
    <s v="JHSF3F"/>
    <x v="0"/>
    <n v="11"/>
    <n v="3.79"/>
    <n v="41.69"/>
    <n v="0"/>
  </r>
  <r>
    <x v="15"/>
    <x v="1"/>
    <x v="0"/>
    <s v="WIZS3F"/>
    <x v="0"/>
    <n v="3"/>
    <n v="9.3000000000000007"/>
    <n v="27.900000000000002"/>
    <n v="0"/>
  </r>
  <r>
    <x v="15"/>
    <x v="1"/>
    <x v="0"/>
    <s v="ITSA4F"/>
    <x v="0"/>
    <n v="5"/>
    <n v="9.33"/>
    <n v="46.65"/>
    <n v="0.01"/>
  </r>
  <r>
    <x v="15"/>
    <x v="1"/>
    <x v="0"/>
    <s v="WIZS3F"/>
    <x v="0"/>
    <n v="2"/>
    <n v="9.1999999999999993"/>
    <n v="18.399999999999999"/>
    <n v="0.01"/>
  </r>
  <r>
    <x v="15"/>
    <x v="1"/>
    <x v="0"/>
    <s v="JHSF3F"/>
    <x v="0"/>
    <n v="3"/>
    <n v="3.58"/>
    <n v="10.74"/>
    <n v="0.01"/>
  </r>
  <r>
    <x v="16"/>
    <x v="1"/>
    <x v="0"/>
    <s v="WIZS3F"/>
    <x v="0"/>
    <n v="2"/>
    <n v="9.1"/>
    <n v="18.2"/>
    <n v="0.01"/>
  </r>
  <r>
    <x v="16"/>
    <x v="1"/>
    <x v="0"/>
    <s v="WIZS3F"/>
    <x v="0"/>
    <n v="3"/>
    <n v="9"/>
    <n v="27"/>
    <n v="0"/>
  </r>
  <r>
    <x v="17"/>
    <x v="1"/>
    <x v="0"/>
    <s v="CSNA3F"/>
    <x v="0"/>
    <n v="3"/>
    <n v="7.5"/>
    <n v="22.5"/>
    <n v="0.01"/>
  </r>
  <r>
    <x v="17"/>
    <x v="1"/>
    <x v="0"/>
    <s v="USIM5F"/>
    <x v="0"/>
    <n v="5"/>
    <n v="4.6500000000000004"/>
    <n v="23.25"/>
    <n v="0.01"/>
  </r>
  <r>
    <x v="17"/>
    <x v="1"/>
    <x v="0"/>
    <s v="JHSF3F"/>
    <x v="0"/>
    <n v="7"/>
    <n v="3.75"/>
    <n v="26.25"/>
    <n v="0.01"/>
  </r>
  <r>
    <x v="17"/>
    <x v="1"/>
    <x v="0"/>
    <s v="ITSA4F"/>
    <x v="0"/>
    <n v="5"/>
    <n v="9.7899999999999991"/>
    <n v="48.949999999999996"/>
    <n v="0.01"/>
  </r>
  <r>
    <x v="17"/>
    <x v="1"/>
    <x v="0"/>
    <s v="JHSF3F"/>
    <x v="0"/>
    <n v="8"/>
    <n v="3.77"/>
    <n v="30.16"/>
    <n v="0"/>
  </r>
  <r>
    <x v="17"/>
    <x v="1"/>
    <x v="0"/>
    <s v="WIZS3F"/>
    <x v="0"/>
    <n v="3"/>
    <n v="9.39"/>
    <n v="28.17"/>
    <n v="0"/>
  </r>
  <r>
    <x v="18"/>
    <x v="1"/>
    <x v="0"/>
    <s v="GGBR3F"/>
    <x v="0"/>
    <n v="3"/>
    <n v="9.8800000000000008"/>
    <n v="29.64"/>
    <n v="0.02"/>
  </r>
  <r>
    <x v="18"/>
    <x v="1"/>
    <x v="0"/>
    <s v="ITUB4F"/>
    <x v="0"/>
    <n v="2"/>
    <n v="24"/>
    <n v="48"/>
    <n v="0.01"/>
  </r>
  <r>
    <x v="18"/>
    <x v="1"/>
    <x v="0"/>
    <s v="IRBR3F"/>
    <x v="0"/>
    <n v="5"/>
    <n v="12.06"/>
    <n v="60.300000000000004"/>
    <n v="0.01"/>
  </r>
  <r>
    <x v="18"/>
    <x v="1"/>
    <x v="0"/>
    <s v="IRBR3F"/>
    <x v="0"/>
    <n v="5"/>
    <n v="11.87"/>
    <n v="59.349999999999994"/>
    <n v="0.01"/>
  </r>
  <r>
    <x v="19"/>
    <x v="1"/>
    <x v="0"/>
    <s v="CSNA3F"/>
    <x v="0"/>
    <n v="5"/>
    <n v="7.02"/>
    <n v="35.099999999999994"/>
    <n v="0.01"/>
  </r>
  <r>
    <x v="19"/>
    <x v="1"/>
    <x v="0"/>
    <s v="ITSA4F"/>
    <x v="0"/>
    <n v="3"/>
    <n v="9.0399999999999991"/>
    <n v="27.119999999999997"/>
    <n v="0.01"/>
  </r>
  <r>
    <x v="19"/>
    <x v="1"/>
    <x v="1"/>
    <s v="RECT11"/>
    <x v="0"/>
    <n v="19"/>
    <n v="91.66"/>
    <n v="1741.54"/>
    <n v="0.31"/>
  </r>
  <r>
    <x v="19"/>
    <x v="1"/>
    <x v="1"/>
    <s v="RECT11"/>
    <x v="0"/>
    <n v="1"/>
    <n v="91.5"/>
    <n v="91.5"/>
    <n v="0.26"/>
  </r>
  <r>
    <x v="20"/>
    <x v="1"/>
    <x v="0"/>
    <s v="WIZS3F"/>
    <x v="0"/>
    <n v="2"/>
    <n v="8.91"/>
    <n v="17.82"/>
    <n v="0"/>
  </r>
  <r>
    <x v="20"/>
    <x v="1"/>
    <x v="0"/>
    <s v="WIZS3F"/>
    <x v="0"/>
    <n v="3"/>
    <n v="8.8000000000000007"/>
    <n v="26.400000000000002"/>
    <n v="0"/>
  </r>
  <r>
    <x v="20"/>
    <x v="1"/>
    <x v="1"/>
    <s v="MXRF11"/>
    <x v="0"/>
    <n v="50"/>
    <n v="9.9700000000000006"/>
    <n v="498.50000000000006"/>
    <n v="0.15000000000000002"/>
  </r>
  <r>
    <x v="21"/>
    <x v="1"/>
    <x v="1"/>
    <s v="RECT11"/>
    <x v="0"/>
    <n v="5"/>
    <n v="91.96"/>
    <n v="459.79999999999995"/>
    <n v="0.37"/>
  </r>
  <r>
    <x v="21"/>
    <x v="1"/>
    <x v="1"/>
    <s v="RECT11"/>
    <x v="0"/>
    <n v="5"/>
    <n v="91.8"/>
    <n v="459"/>
    <n v="0"/>
  </r>
  <r>
    <x v="21"/>
    <x v="1"/>
    <x v="1"/>
    <s v="RECT11"/>
    <x v="0"/>
    <n v="3"/>
    <n v="91.5"/>
    <n v="274.5"/>
    <n v="0"/>
  </r>
  <r>
    <x v="21"/>
    <x v="1"/>
    <x v="1"/>
    <s v="MXRF11"/>
    <x v="0"/>
    <n v="5"/>
    <n v="10.029999999999999"/>
    <n v="50.15"/>
    <n v="0"/>
  </r>
  <r>
    <x v="22"/>
    <x v="1"/>
    <x v="0"/>
    <s v="IRBR3F"/>
    <x v="0"/>
    <n v="5"/>
    <n v="11.71"/>
    <n v="58.550000000000004"/>
    <n v="0.03"/>
  </r>
  <r>
    <x v="22"/>
    <x v="1"/>
    <x v="0"/>
    <s v="IRBR3F"/>
    <x v="0"/>
    <n v="5"/>
    <n v="11.4"/>
    <n v="57"/>
    <n v="0"/>
  </r>
  <r>
    <x v="22"/>
    <x v="1"/>
    <x v="0"/>
    <s v="IRBR3F"/>
    <x v="0"/>
    <n v="2"/>
    <n v="11.12"/>
    <n v="22.24"/>
    <n v="0"/>
  </r>
  <r>
    <x v="23"/>
    <x v="1"/>
    <x v="0"/>
    <s v="IRBR3F"/>
    <x v="0"/>
    <n v="3"/>
    <n v="10.7"/>
    <n v="32.099999999999994"/>
    <n v="0.06"/>
  </r>
  <r>
    <x v="23"/>
    <x v="1"/>
    <x v="0"/>
    <s v="SAPR4F"/>
    <x v="0"/>
    <n v="2"/>
    <n v="5.12"/>
    <n v="10.24"/>
    <n v="0"/>
  </r>
  <r>
    <x v="23"/>
    <x v="1"/>
    <x v="0"/>
    <s v="ITSA4F"/>
    <x v="0"/>
    <n v="2"/>
    <n v="9"/>
    <n v="18"/>
    <n v="0"/>
  </r>
  <r>
    <x v="23"/>
    <x v="1"/>
    <x v="0"/>
    <s v="IRBR3F"/>
    <x v="0"/>
    <n v="3"/>
    <n v="10.55"/>
    <n v="31.650000000000002"/>
    <n v="0"/>
  </r>
  <r>
    <x v="23"/>
    <x v="1"/>
    <x v="0"/>
    <s v="IRBR3F"/>
    <x v="0"/>
    <n v="3"/>
    <n v="10.29"/>
    <n v="30.869999999999997"/>
    <n v="0"/>
  </r>
  <r>
    <x v="23"/>
    <x v="1"/>
    <x v="0"/>
    <s v="SAPR4F"/>
    <x v="0"/>
    <n v="2"/>
    <n v="5.05"/>
    <n v="10.1"/>
    <n v="0"/>
  </r>
  <r>
    <x v="23"/>
    <x v="1"/>
    <x v="0"/>
    <s v="SAPR4F"/>
    <x v="0"/>
    <n v="2"/>
    <n v="4.97"/>
    <n v="9.94"/>
    <n v="0"/>
  </r>
  <r>
    <x v="23"/>
    <x v="1"/>
    <x v="0"/>
    <s v="IRBR3F"/>
    <x v="0"/>
    <n v="2"/>
    <n v="9.99"/>
    <n v="19.98"/>
    <n v="0"/>
  </r>
  <r>
    <x v="23"/>
    <x v="1"/>
    <x v="0"/>
    <s v="JHSF3F"/>
    <x v="0"/>
    <n v="3"/>
    <n v="4.42"/>
    <n v="13.26"/>
    <n v="0"/>
  </r>
  <r>
    <x v="23"/>
    <x v="1"/>
    <x v="1"/>
    <s v="MXRF11"/>
    <x v="0"/>
    <n v="5"/>
    <n v="10"/>
    <n v="50"/>
    <n v="0.02"/>
  </r>
  <r>
    <x v="24"/>
    <x v="1"/>
    <x v="0"/>
    <s v="SAPR4F"/>
    <x v="0"/>
    <n v="3"/>
    <n v="4.8499999999999996"/>
    <n v="14.549999999999999"/>
    <n v="0.06"/>
  </r>
  <r>
    <x v="24"/>
    <x v="1"/>
    <x v="0"/>
    <s v="ITSA4F"/>
    <x v="0"/>
    <n v="2"/>
    <n v="8.5500000000000007"/>
    <n v="17.100000000000001"/>
    <n v="0"/>
  </r>
  <r>
    <x v="24"/>
    <x v="1"/>
    <x v="0"/>
    <s v="SAPR4F"/>
    <x v="0"/>
    <n v="2"/>
    <n v="4.7699999999999996"/>
    <n v="9.5399999999999991"/>
    <n v="0"/>
  </r>
  <r>
    <x v="24"/>
    <x v="1"/>
    <x v="0"/>
    <s v="BIDI4F"/>
    <x v="0"/>
    <n v="5"/>
    <n v="9.17"/>
    <n v="45.85"/>
    <n v="0"/>
  </r>
  <r>
    <x v="24"/>
    <x v="1"/>
    <x v="0"/>
    <s v="SAPR4F"/>
    <x v="0"/>
    <n v="2"/>
    <n v="4.67"/>
    <n v="9.34"/>
    <n v="0"/>
  </r>
  <r>
    <x v="24"/>
    <x v="1"/>
    <x v="0"/>
    <s v="ITSA4F"/>
    <x v="0"/>
    <n v="2"/>
    <n v="8.39"/>
    <n v="16.78"/>
    <n v="0"/>
  </r>
  <r>
    <x v="24"/>
    <x v="1"/>
    <x v="0"/>
    <s v="IRBR3F"/>
    <x v="0"/>
    <n v="2"/>
    <n v="9.14"/>
    <n v="18.28"/>
    <n v="0"/>
  </r>
  <r>
    <x v="24"/>
    <x v="1"/>
    <x v="0"/>
    <s v="ITSA4F"/>
    <x v="0"/>
    <n v="2"/>
    <n v="8.25"/>
    <n v="16.5"/>
    <n v="0"/>
  </r>
  <r>
    <x v="24"/>
    <x v="1"/>
    <x v="0"/>
    <s v="BIDI4F"/>
    <x v="0"/>
    <n v="3"/>
    <n v="8.9"/>
    <n v="26.700000000000003"/>
    <n v="0"/>
  </r>
  <r>
    <x v="24"/>
    <x v="1"/>
    <x v="0"/>
    <s v="CSNA3F"/>
    <x v="0"/>
    <n v="2"/>
    <n v="6.9"/>
    <n v="13.8"/>
    <n v="0"/>
  </r>
  <r>
    <x v="24"/>
    <x v="1"/>
    <x v="0"/>
    <s v="CSNA3F"/>
    <x v="0"/>
    <n v="3"/>
    <n v="6.7"/>
    <n v="20.100000000000001"/>
    <n v="0"/>
  </r>
  <r>
    <x v="24"/>
    <x v="1"/>
    <x v="0"/>
    <s v="BIDI4F"/>
    <x v="0"/>
    <n v="3"/>
    <n v="8.6"/>
    <n v="25.799999999999997"/>
    <n v="0"/>
  </r>
  <r>
    <x v="24"/>
    <x v="1"/>
    <x v="0"/>
    <s v="CMIG4F"/>
    <x v="0"/>
    <n v="2"/>
    <n v="8.6999999999999993"/>
    <n v="17.399999999999999"/>
    <n v="0"/>
  </r>
  <r>
    <x v="24"/>
    <x v="1"/>
    <x v="1"/>
    <s v="MXRF11"/>
    <x v="0"/>
    <n v="5"/>
    <n v="9.9499999999999993"/>
    <n v="49.75"/>
    <n v="0.11"/>
  </r>
  <r>
    <x v="24"/>
    <x v="1"/>
    <x v="1"/>
    <s v="MXRF11"/>
    <x v="0"/>
    <n v="5"/>
    <n v="9.93"/>
    <n v="49.65"/>
    <n v="0"/>
  </r>
  <r>
    <x v="24"/>
    <x v="1"/>
    <x v="1"/>
    <s v="MXRF11"/>
    <x v="0"/>
    <n v="5"/>
    <n v="9.9"/>
    <n v="49.5"/>
    <n v="0"/>
  </r>
  <r>
    <x v="24"/>
    <x v="1"/>
    <x v="1"/>
    <s v="MXRF11"/>
    <x v="0"/>
    <n v="5"/>
    <n v="9.85"/>
    <n v="49.25"/>
    <n v="0"/>
  </r>
  <r>
    <x v="24"/>
    <x v="1"/>
    <x v="1"/>
    <s v="MXRF11"/>
    <x v="0"/>
    <n v="5"/>
    <n v="9.8000000000000007"/>
    <n v="49"/>
    <n v="0"/>
  </r>
  <r>
    <x v="24"/>
    <x v="1"/>
    <x v="1"/>
    <s v="MXRF11"/>
    <x v="0"/>
    <n v="5"/>
    <n v="9.92"/>
    <n v="49.6"/>
    <n v="0"/>
  </r>
  <r>
    <x v="24"/>
    <x v="1"/>
    <x v="1"/>
    <s v="MXRF11"/>
    <x v="0"/>
    <n v="5"/>
    <n v="9.6999999999999993"/>
    <n v="48.5"/>
    <n v="0"/>
  </r>
  <r>
    <x v="25"/>
    <x v="1"/>
    <x v="0"/>
    <s v="ROMI3F"/>
    <x v="0"/>
    <n v="2"/>
    <n v="9.7899999999999991"/>
    <n v="19.579999999999998"/>
    <n v="0"/>
  </r>
  <r>
    <x v="26"/>
    <x v="1"/>
    <x v="0"/>
    <s v="ITSA4F"/>
    <x v="0"/>
    <n v="2"/>
    <n v="9.27"/>
    <n v="18.54"/>
    <n v="0"/>
  </r>
  <r>
    <x v="26"/>
    <x v="1"/>
    <x v="0"/>
    <s v="JHSF3F"/>
    <x v="0"/>
    <n v="2"/>
    <n v="4.43"/>
    <n v="8.86"/>
    <n v="0"/>
  </r>
  <r>
    <x v="27"/>
    <x v="1"/>
    <x v="0"/>
    <s v="JHSF3F"/>
    <x v="0"/>
    <n v="2"/>
    <n v="4.28"/>
    <n v="8.56"/>
    <n v="0"/>
  </r>
  <r>
    <x v="27"/>
    <x v="1"/>
    <x v="0"/>
    <s v="JHSF3F"/>
    <x v="0"/>
    <n v="2"/>
    <n v="4.2300000000000004"/>
    <n v="8.4600000000000009"/>
    <n v="0"/>
  </r>
  <r>
    <x v="28"/>
    <x v="1"/>
    <x v="0"/>
    <s v="JHSF3F"/>
    <x v="0"/>
    <n v="2"/>
    <n v="4.0999999999999996"/>
    <n v="8.1999999999999993"/>
    <n v="0.04"/>
  </r>
  <r>
    <x v="28"/>
    <x v="1"/>
    <x v="0"/>
    <s v="WIZS3F"/>
    <x v="0"/>
    <n v="2"/>
    <n v="8.6999999999999993"/>
    <n v="17.399999999999999"/>
    <n v="0"/>
  </r>
  <r>
    <x v="28"/>
    <x v="1"/>
    <x v="0"/>
    <s v="WIZS3F"/>
    <x v="0"/>
    <n v="2"/>
    <n v="8.5500000000000007"/>
    <n v="17.100000000000001"/>
    <n v="0"/>
  </r>
  <r>
    <x v="28"/>
    <x v="1"/>
    <x v="0"/>
    <s v="WIZS3F"/>
    <x v="0"/>
    <n v="3"/>
    <n v="8.42"/>
    <n v="25.259999999999998"/>
    <n v="0"/>
  </r>
  <r>
    <x v="28"/>
    <x v="1"/>
    <x v="0"/>
    <s v="WIZS3F"/>
    <x v="0"/>
    <n v="2"/>
    <n v="8.52"/>
    <n v="17.04"/>
    <n v="0"/>
  </r>
  <r>
    <x v="28"/>
    <x v="1"/>
    <x v="0"/>
    <s v="JHSF3F"/>
    <x v="0"/>
    <n v="2"/>
    <n v="4"/>
    <n v="8"/>
    <n v="0"/>
  </r>
  <r>
    <x v="28"/>
    <x v="1"/>
    <x v="0"/>
    <s v="WIZS3F"/>
    <x v="0"/>
    <n v="1"/>
    <n v="8.4"/>
    <n v="8.4"/>
    <n v="0"/>
  </r>
  <r>
    <x v="28"/>
    <x v="1"/>
    <x v="0"/>
    <s v="WIZS3F"/>
    <x v="0"/>
    <n v="1"/>
    <n v="8.3699999999999992"/>
    <n v="8.3699999999999992"/>
    <n v="0"/>
  </r>
  <r>
    <x v="28"/>
    <x v="1"/>
    <x v="0"/>
    <s v="WIZS3F"/>
    <x v="0"/>
    <n v="3"/>
    <n v="8.3000000000000007"/>
    <n v="24.900000000000002"/>
    <n v="0"/>
  </r>
  <r>
    <x v="28"/>
    <x v="1"/>
    <x v="0"/>
    <s v="WIZS3F"/>
    <x v="0"/>
    <n v="3"/>
    <n v="8.1999999999999993"/>
    <n v="24.599999999999998"/>
    <n v="0"/>
  </r>
  <r>
    <x v="29"/>
    <x v="1"/>
    <x v="0"/>
    <s v="ITSA4F"/>
    <x v="0"/>
    <n v="2"/>
    <n v="8.6999999999999993"/>
    <n v="17.399999999999999"/>
    <n v="0.01"/>
  </r>
  <r>
    <x v="29"/>
    <x v="1"/>
    <x v="0"/>
    <s v="JHSF3F"/>
    <x v="0"/>
    <n v="2"/>
    <n v="3.83"/>
    <n v="7.66"/>
    <n v="0"/>
  </r>
  <r>
    <x v="29"/>
    <x v="1"/>
    <x v="0"/>
    <s v="SAPR4F"/>
    <x v="0"/>
    <n v="2"/>
    <n v="4.8099999999999996"/>
    <n v="9.6199999999999992"/>
    <n v="0"/>
  </r>
  <r>
    <x v="29"/>
    <x v="1"/>
    <x v="0"/>
    <s v="WIZS3F"/>
    <x v="0"/>
    <n v="3"/>
    <n v="7.85"/>
    <n v="23.549999999999997"/>
    <n v="0"/>
  </r>
  <r>
    <x v="30"/>
    <x v="1"/>
    <x v="0"/>
    <s v="ITSA4F"/>
    <x v="0"/>
    <n v="3"/>
    <n v="8.6"/>
    <n v="25.799999999999997"/>
    <n v="0.04"/>
  </r>
  <r>
    <x v="30"/>
    <x v="1"/>
    <x v="0"/>
    <s v="ITSA4F"/>
    <x v="0"/>
    <n v="3"/>
    <n v="8.5"/>
    <n v="25.5"/>
    <n v="0"/>
  </r>
  <r>
    <x v="30"/>
    <x v="1"/>
    <x v="0"/>
    <s v="ITSA4F"/>
    <x v="0"/>
    <n v="5"/>
    <n v="8.4"/>
    <n v="42"/>
    <n v="0"/>
  </r>
  <r>
    <x v="30"/>
    <x v="1"/>
    <x v="0"/>
    <s v="SAPR4F"/>
    <x v="0"/>
    <n v="3"/>
    <n v="4.74"/>
    <n v="14.22"/>
    <n v="0"/>
  </r>
  <r>
    <x v="30"/>
    <x v="1"/>
    <x v="0"/>
    <s v="ITSA4F"/>
    <x v="0"/>
    <n v="5"/>
    <n v="8.3000000000000007"/>
    <n v="41.5"/>
    <n v="0"/>
  </r>
  <r>
    <x v="30"/>
    <x v="1"/>
    <x v="0"/>
    <s v="ITSA4F"/>
    <x v="0"/>
    <n v="2"/>
    <n v="8.35"/>
    <n v="16.7"/>
    <n v="0"/>
  </r>
  <r>
    <x v="31"/>
    <x v="1"/>
    <x v="0"/>
    <s v="ROMI3F"/>
    <x v="0"/>
    <n v="1"/>
    <n v="9.6999999999999993"/>
    <n v="9.6999999999999993"/>
    <n v="0"/>
  </r>
  <r>
    <x v="31"/>
    <x v="1"/>
    <x v="0"/>
    <s v="ROMI3F"/>
    <x v="0"/>
    <n v="1"/>
    <n v="9.6"/>
    <n v="9.6"/>
    <n v="0"/>
  </r>
  <r>
    <x v="32"/>
    <x v="1"/>
    <x v="0"/>
    <s v="ROMI3F"/>
    <x v="0"/>
    <n v="2"/>
    <n v="9.5"/>
    <n v="19"/>
    <n v="0.03"/>
  </r>
  <r>
    <x v="32"/>
    <x v="1"/>
    <x v="0"/>
    <s v="CMIG4F"/>
    <x v="0"/>
    <n v="2"/>
    <n v="8.42"/>
    <n v="16.84"/>
    <n v="0"/>
  </r>
  <r>
    <x v="32"/>
    <x v="1"/>
    <x v="0"/>
    <s v="BIDI4F"/>
    <x v="0"/>
    <n v="3"/>
    <n v="8.5500000000000007"/>
    <n v="25.650000000000002"/>
    <n v="0"/>
  </r>
  <r>
    <x v="32"/>
    <x v="1"/>
    <x v="0"/>
    <s v="CMIG4F"/>
    <x v="0"/>
    <n v="2"/>
    <n v="8.25"/>
    <n v="16.5"/>
    <n v="0"/>
  </r>
  <r>
    <x v="32"/>
    <x v="1"/>
    <x v="0"/>
    <s v="ITSA4F"/>
    <x v="0"/>
    <n v="3"/>
    <n v="8.3000000000000007"/>
    <n v="24.900000000000002"/>
    <n v="0"/>
  </r>
  <r>
    <x v="32"/>
    <x v="1"/>
    <x v="0"/>
    <s v="ITSA4F"/>
    <x v="0"/>
    <n v="3"/>
    <n v="8.1999999999999993"/>
    <n v="24.599999999999998"/>
    <n v="0"/>
  </r>
  <r>
    <x v="33"/>
    <x v="1"/>
    <x v="0"/>
    <s v="BIDI4F"/>
    <x v="0"/>
    <n v="-14"/>
    <n v="8.86"/>
    <n v="-124.03999999999999"/>
    <n v="0.03"/>
  </r>
  <r>
    <x v="34"/>
    <x v="1"/>
    <x v="0"/>
    <s v="KLBN11F"/>
    <x v="0"/>
    <n v="3"/>
    <n v="18.95"/>
    <n v="56.849999999999994"/>
    <n v="0.01"/>
  </r>
  <r>
    <x v="35"/>
    <x v="1"/>
    <x v="0"/>
    <s v="KLBN11F"/>
    <x v="0"/>
    <n v="1"/>
    <n v="19.100000000000001"/>
    <n v="19.100000000000001"/>
    <n v="0"/>
  </r>
  <r>
    <x v="36"/>
    <x v="1"/>
    <x v="0"/>
    <s v="MRVE3F"/>
    <x v="0"/>
    <n v="5"/>
    <n v="16.850000000000001"/>
    <n v="84.25"/>
    <n v="0.22"/>
  </r>
  <r>
    <x v="36"/>
    <x v="1"/>
    <x v="1"/>
    <s v="HFOF11"/>
    <x v="0"/>
    <n v="5"/>
    <n v="107.8"/>
    <n v="539"/>
    <n v="0"/>
  </r>
  <r>
    <x v="36"/>
    <x v="1"/>
    <x v="0"/>
    <s v="USIM5F"/>
    <x v="0"/>
    <n v="6"/>
    <n v="4.9000000000000004"/>
    <n v="29.400000000000002"/>
    <n v="0"/>
  </r>
  <r>
    <x v="36"/>
    <x v="1"/>
    <x v="0"/>
    <s v="CSNA3F"/>
    <x v="0"/>
    <n v="10"/>
    <n v="8.6999999999999993"/>
    <n v="87"/>
    <n v="0"/>
  </r>
  <r>
    <x v="37"/>
    <x v="1"/>
    <x v="0"/>
    <s v="GGBR3F"/>
    <x v="0"/>
    <n v="-6"/>
    <n v="9.24"/>
    <n v="-55.44"/>
    <n v="0.01"/>
  </r>
  <r>
    <x v="38"/>
    <x v="1"/>
    <x v="0"/>
    <s v="MRVE3F"/>
    <x v="0"/>
    <n v="2"/>
    <n v="15"/>
    <n v="30"/>
    <n v="0"/>
  </r>
  <r>
    <x v="39"/>
    <x v="1"/>
    <x v="0"/>
    <s v="SAPR4F"/>
    <x v="0"/>
    <n v="5"/>
    <n v="5.85"/>
    <n v="29.25"/>
    <n v="7.0000000000000007E-2"/>
  </r>
  <r>
    <x v="39"/>
    <x v="1"/>
    <x v="0"/>
    <s v="JHSF3F"/>
    <x v="0"/>
    <n v="10"/>
    <n v="5.55"/>
    <n v="55.5"/>
    <n v="0"/>
  </r>
  <r>
    <x v="39"/>
    <x v="1"/>
    <x v="0"/>
    <s v="USIM5F"/>
    <x v="0"/>
    <n v="5"/>
    <n v="7.1"/>
    <n v="35.5"/>
    <n v="0"/>
  </r>
  <r>
    <x v="39"/>
    <x v="1"/>
    <x v="0"/>
    <s v="CSNA3F"/>
    <x v="0"/>
    <n v="5"/>
    <n v="10.97"/>
    <n v="54.85"/>
    <n v="0"/>
  </r>
  <r>
    <x v="39"/>
    <x v="1"/>
    <x v="0"/>
    <s v="KLBN11F"/>
    <x v="0"/>
    <n v="1"/>
    <n v="19.45"/>
    <n v="19.45"/>
    <n v="0"/>
  </r>
  <r>
    <x v="39"/>
    <x v="1"/>
    <x v="0"/>
    <s v="SAPR4F"/>
    <x v="0"/>
    <n v="5"/>
    <n v="5.7"/>
    <n v="28.5"/>
    <n v="0"/>
  </r>
  <r>
    <x v="39"/>
    <x v="1"/>
    <x v="0"/>
    <s v="USIM5F"/>
    <x v="0"/>
    <n v="5"/>
    <n v="6.95"/>
    <n v="34.75"/>
    <n v="0"/>
  </r>
  <r>
    <x v="39"/>
    <x v="1"/>
    <x v="0"/>
    <s v="SAPR4F"/>
    <x v="0"/>
    <n v="5"/>
    <n v="5.75"/>
    <n v="28.75"/>
    <n v="0"/>
  </r>
  <r>
    <x v="40"/>
    <x v="1"/>
    <x v="0"/>
    <s v="USIM5F"/>
    <x v="0"/>
    <n v="5"/>
    <n v="6.9"/>
    <n v="34.5"/>
    <n v="0"/>
  </r>
  <r>
    <x v="41"/>
    <x v="1"/>
    <x v="0"/>
    <s v="STBP3F"/>
    <x v="0"/>
    <n v="3"/>
    <n v="5.7"/>
    <n v="17.100000000000001"/>
    <n v="0.01"/>
  </r>
  <r>
    <x v="41"/>
    <x v="1"/>
    <x v="0"/>
    <s v="STBP3F"/>
    <x v="0"/>
    <n v="10"/>
    <n v="5.4"/>
    <n v="54"/>
    <n v="0"/>
  </r>
  <r>
    <x v="42"/>
    <x v="1"/>
    <x v="1"/>
    <s v="HFOF11"/>
    <x v="0"/>
    <n v="5"/>
    <n v="109"/>
    <n v="545"/>
    <n v="0.15"/>
  </r>
  <r>
    <x v="42"/>
    <x v="1"/>
    <x v="0"/>
    <s v="STBP3F"/>
    <x v="0"/>
    <n v="3"/>
    <n v="5.2"/>
    <n v="15.600000000000001"/>
    <n v="0.01"/>
  </r>
  <r>
    <x v="42"/>
    <x v="1"/>
    <x v="0"/>
    <s v="STBP3F"/>
    <x v="0"/>
    <n v="2"/>
    <n v="5.15"/>
    <n v="10.3"/>
    <n v="0"/>
  </r>
  <r>
    <x v="43"/>
    <x v="1"/>
    <x v="0"/>
    <s v="STBP3F"/>
    <x v="0"/>
    <n v="2"/>
    <n v="5.4"/>
    <n v="10.8"/>
    <n v="0"/>
  </r>
  <r>
    <x v="44"/>
    <x v="1"/>
    <x v="0"/>
    <s v="SAPR4F"/>
    <x v="0"/>
    <n v="5"/>
    <n v="6.65"/>
    <n v="33.25"/>
    <n v="0.05"/>
  </r>
  <r>
    <x v="44"/>
    <x v="1"/>
    <x v="0"/>
    <s v="STBP3F"/>
    <x v="0"/>
    <n v="2"/>
    <n v="5.78"/>
    <n v="11.56"/>
    <n v="0"/>
  </r>
  <r>
    <x v="44"/>
    <x v="1"/>
    <x v="0"/>
    <s v="EMBR3F"/>
    <x v="0"/>
    <n v="3"/>
    <n v="8.6999999999999993"/>
    <n v="26.099999999999998"/>
    <n v="0"/>
  </r>
  <r>
    <x v="44"/>
    <x v="1"/>
    <x v="0"/>
    <s v="EMBR3F"/>
    <x v="0"/>
    <n v="2"/>
    <n v="8.6"/>
    <n v="17.2"/>
    <n v="0"/>
  </r>
  <r>
    <x v="44"/>
    <x v="1"/>
    <x v="0"/>
    <s v="JHSF3F"/>
    <x v="0"/>
    <n v="10"/>
    <n v="6.99"/>
    <n v="69.900000000000006"/>
    <n v="0"/>
  </r>
  <r>
    <x v="44"/>
    <x v="1"/>
    <x v="1"/>
    <s v="MXRF11"/>
    <x v="0"/>
    <n v="5"/>
    <n v="10.75"/>
    <n v="53.75"/>
    <n v="0"/>
  </r>
  <r>
    <x v="45"/>
    <x v="1"/>
    <x v="0"/>
    <s v="EMBR3F"/>
    <x v="0"/>
    <n v="3"/>
    <n v="8.3000000000000007"/>
    <n v="24.900000000000002"/>
    <n v="0"/>
  </r>
  <r>
    <x v="46"/>
    <x v="1"/>
    <x v="0"/>
    <s v="EMBR3F"/>
    <x v="0"/>
    <n v="4"/>
    <n v="7.9"/>
    <n v="31.6"/>
    <n v="0"/>
  </r>
  <r>
    <x v="47"/>
    <x v="1"/>
    <x v="1"/>
    <s v="UBSR11"/>
    <x v="0"/>
    <n v="5"/>
    <n v="101"/>
    <n v="505"/>
    <n v="0.16"/>
  </r>
  <r>
    <x v="48"/>
    <x v="2"/>
    <x v="0"/>
    <s v="SMLS3F"/>
    <x v="0"/>
    <n v="5"/>
    <n v="14.85"/>
    <n v="74.25"/>
    <n v="0.04"/>
  </r>
  <r>
    <x v="48"/>
    <x v="2"/>
    <x v="0"/>
    <s v="SMLS3F"/>
    <x v="0"/>
    <n v="5"/>
    <n v="14.8"/>
    <n v="74"/>
    <n v="0"/>
  </r>
  <r>
    <x v="49"/>
    <x v="2"/>
    <x v="0"/>
    <s v="SMLS3F"/>
    <x v="0"/>
    <n v="3"/>
    <n v="14.6"/>
    <n v="43.8"/>
    <n v="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5" minRefreshableVersion="3" subtotalHiddenItems="1" itemPrintTitles="1" createdVersion="5" indent="0" outline="1" outlineData="1" multipleFieldFilters="0">
  <location ref="L133:R138" firstHeaderRow="0" firstDataRow="1" firstDataCol="1"/>
  <pivotFields count="8">
    <pivotField axis="axisRow" allDrilled="1" showAll="0" dataSourceSort="1">
      <items count="5">
        <item s="1" x="0"/>
        <item s="1" x="1" e="0"/>
        <item s="1" x="2" e="0"/>
        <item s="1" x="3" e="0"/>
        <item t="default"/>
      </items>
    </pivotField>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1">
    <field x="0"/>
  </rowFields>
  <rowItems count="5">
    <i>
      <x/>
    </i>
    <i>
      <x v="1"/>
    </i>
    <i>
      <x v="2"/>
    </i>
    <i>
      <x v="3"/>
    </i>
    <i t="grand">
      <x/>
    </i>
  </rowItems>
  <colFields count="1">
    <field x="-2"/>
  </colFields>
  <colItems count="6">
    <i>
      <x/>
    </i>
    <i i="1">
      <x v="1"/>
    </i>
    <i i="2">
      <x v="2"/>
    </i>
    <i i="3">
      <x v="3"/>
    </i>
    <i i="4">
      <x v="4"/>
    </i>
    <i i="5">
      <x v="5"/>
    </i>
  </colItems>
  <dataFields count="6">
    <dataField name=" Resultado" fld="3" baseField="0" baseItem="0" numFmtId="44"/>
    <dataField name=" Rendimento" fld="5" baseField="0" baseItem="0" numFmtId="44"/>
    <dataField name="Md Rend" fld="4" subtotal="average" baseField="0" baseItem="0" numFmtId="44"/>
    <dataField name=" Qntd. Cotas" fld="6" subtotal="average" baseField="0" baseItem="0" numFmtId="43"/>
    <dataField name="Carteria" fld="1" baseField="0" baseItem="0"/>
    <dataField name=" Rend. Cota" fld="2" baseField="0" baseItem="0" numFmtId="44"/>
  </dataFields>
  <formats count="16">
    <format dxfId="118">
      <pivotArea outline="0" collapsedLevelsAreSubtotals="1" fieldPosition="0">
        <references count="1">
          <reference field="4294967294" count="1" selected="0">
            <x v="0"/>
          </reference>
        </references>
      </pivotArea>
    </format>
    <format dxfId="117">
      <pivotArea outline="0" collapsedLevelsAreSubtotals="1" fieldPosition="0">
        <references count="1">
          <reference field="4294967294" count="1" selected="0">
            <x v="2"/>
          </reference>
        </references>
      </pivotArea>
    </format>
    <format dxfId="116">
      <pivotArea dataOnly="0" labelOnly="1" outline="0" fieldPosition="0">
        <references count="1">
          <reference field="4294967294" count="1">
            <x v="2"/>
          </reference>
        </references>
      </pivotArea>
    </format>
    <format dxfId="115">
      <pivotArea outline="0" collapsedLevelsAreSubtotals="1" fieldPosition="0">
        <references count="1">
          <reference field="4294967294" count="1" selected="0">
            <x v="3"/>
          </reference>
        </references>
      </pivotArea>
    </format>
    <format dxfId="114">
      <pivotArea outline="0" collapsedLevelsAreSubtotals="1" fieldPosition="0">
        <references count="1">
          <reference field="4294967294" count="1" selected="0">
            <x v="1"/>
          </reference>
        </references>
      </pivotArea>
    </format>
    <format dxfId="113">
      <pivotArea outline="0" collapsedLevelsAreSubtotals="1" fieldPosition="0"/>
    </format>
    <format dxfId="112">
      <pivotArea type="all" dataOnly="0" outline="0" fieldPosition="0"/>
    </format>
    <format dxfId="111">
      <pivotArea field="0" type="button" dataOnly="0" labelOnly="1" outline="0" axis="axisRow" fieldPosition="0"/>
    </format>
    <format dxfId="110">
      <pivotArea dataOnly="0" labelOnly="1" outline="0" fieldPosition="0">
        <references count="1">
          <reference field="4294967294" count="6">
            <x v="0"/>
            <x v="1"/>
            <x v="2"/>
            <x v="3"/>
            <x v="4"/>
            <x v="5"/>
          </reference>
        </references>
      </pivotArea>
    </format>
    <format dxfId="109">
      <pivotArea outline="0" collapsedLevelsAreSubtotals="1" fieldPosition="0">
        <references count="1">
          <reference field="4294967294" count="1" selected="0">
            <x v="5"/>
          </reference>
        </references>
      </pivotArea>
    </format>
    <format dxfId="108">
      <pivotArea grandRow="1" outline="0" collapsedLevelsAreSubtotals="1" fieldPosition="0"/>
    </format>
    <format dxfId="107">
      <pivotArea dataOnly="0" labelOnly="1" grandRow="1" outline="0" fieldPosition="0"/>
    </format>
    <format dxfId="106">
      <pivotArea grandRow="1" outline="0" collapsedLevelsAreSubtotals="1" fieldPosition="0"/>
    </format>
    <format dxfId="105">
      <pivotArea outline="0" collapsedLevelsAreSubtotals="1" fieldPosition="0"/>
    </format>
    <format dxfId="104">
      <pivotArea dataOnly="0" labelOnly="1" fieldPosition="0">
        <references count="1">
          <reference field="0" count="0"/>
        </references>
      </pivotArea>
    </format>
    <format dxfId="103">
      <pivotArea dataOnly="0" labelOnly="1" grandRow="1" outline="0" fieldPosition="0"/>
    </format>
  </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caption="Carteria"/>
    <pivotHierarchy dragToData="1" caption=" Rend. Cota"/>
    <pivotHierarchy dragToData="1" caption=" Resultado"/>
    <pivotHierarchy dragToData="1" caption=" Rendimento"/>
    <pivotHierarchy dragToData="1"/>
    <pivotHierarchy dragToData="1" caption="Md Rend"/>
    <pivotHierarchy dragToData="1" caption=" Qntd. Cotas"/>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ontrole]"/>
        <x15:activeTabTopLevelEntity name="[fundo]"/>
      </x15:pivotTableUISettings>
    </ext>
  </extLst>
</pivotTableDefinition>
</file>

<file path=xl/pivotTables/pivotTable2.xml><?xml version="1.0" encoding="utf-8"?>
<pivotTableDefinition xmlns="http://schemas.openxmlformats.org/spreadsheetml/2006/main" name="PivotTable3" cacheId="21" applyNumberFormats="0" applyBorderFormats="0" applyFontFormats="0" applyPatternFormats="0" applyAlignmentFormats="0" applyWidthHeightFormats="1" dataCaption="Values" missingCaption="-" updatedVersion="5" minRefreshableVersion="3" preserveFormatting="0" colGrandTotals="0" itemPrintTitles="1" createdVersion="5" indent="0" outline="1" outlineData="1" multipleFieldFilters="0" rowHeaderCaption="AÇÕES">
  <location ref="R140:S146" firstHeaderRow="1" firstDataRow="1" firstDataCol="1"/>
  <pivotFields count="13">
    <pivotField axis="axisRow" numFmtId="16" showAll="0" defaultSubtotal="0">
      <items count="14">
        <item x="0"/>
        <item x="1"/>
        <item x="2"/>
        <item x="3"/>
        <item x="4"/>
        <item x="5"/>
        <item x="6"/>
        <item x="7"/>
        <item x="8"/>
        <item x="9"/>
        <item x="10"/>
        <item x="11"/>
        <item x="12"/>
        <item x="13"/>
      </items>
    </pivotField>
    <pivotField showAll="0" defaultSubtotal="0">
      <items count="4">
        <item x="2"/>
        <item x="1"/>
        <item x="0"/>
        <item m="1" x="3"/>
      </items>
    </pivotField>
    <pivotField showAll="0" defaultSubtotal="0"/>
    <pivotField showAll="0" defaultSubtotal="0"/>
    <pivotField showAll="0" defaultSubtotal="0">
      <items count="3">
        <item x="0"/>
        <item h="1" x="1"/>
        <item h="1" m="1" x="2"/>
      </items>
    </pivotField>
    <pivotField showAll="0" defaultSubtotal="0"/>
    <pivotField showAll="0" defaultSubtotal="0"/>
    <pivotField dataField="1" showAll="0" defaultSubtotal="0"/>
    <pivotField numFmtId="44"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6">
    <i>
      <x v="3"/>
    </i>
    <i>
      <x v="4"/>
    </i>
    <i>
      <x v="5"/>
    </i>
    <i>
      <x v="6"/>
    </i>
    <i>
      <x v="7"/>
    </i>
    <i t="grand">
      <x/>
    </i>
  </rowItems>
  <colItems count="1">
    <i/>
  </colItems>
  <dataFields count="1">
    <dataField name="Sum of VALOR" fld="7"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21" applyNumberFormats="0" applyBorderFormats="0" applyFontFormats="0" applyPatternFormats="0" applyAlignmentFormats="0" applyWidthHeightFormats="1" dataCaption="Values" grandTotalCaption=" " missingCaption="-" updatedVersion="5" minRefreshableVersion="3" preserveFormatting="0" colGrandTotals="0" itemPrintTitles="1" createdVersion="5" indent="0" outline="1" outlineData="1" multipleFieldFilters="0" rowHeaderCaption=" ">
  <location ref="T140:U146" firstHeaderRow="1" firstDataRow="1" firstDataCol="1"/>
  <pivotFields count="13">
    <pivotField axis="axisRow" numFmtId="16" showAll="0" defaultSubtotal="0">
      <items count="14">
        <item x="0"/>
        <item x="1"/>
        <item x="2"/>
        <item x="3"/>
        <item x="4"/>
        <item x="5"/>
        <item x="6"/>
        <item x="7"/>
        <item x="8"/>
        <item x="9"/>
        <item x="10"/>
        <item x="11"/>
        <item x="12"/>
        <item x="13"/>
      </items>
    </pivotField>
    <pivotField showAll="0" defaultSubtotal="0">
      <items count="4">
        <item x="2"/>
        <item x="1"/>
        <item x="0"/>
        <item m="1" x="3"/>
      </items>
    </pivotField>
    <pivotField showAll="0" defaultSubtotal="0">
      <items count="4">
        <item x="0"/>
        <item x="1"/>
        <item m="1" x="3"/>
        <item m="1" x="2"/>
      </items>
    </pivotField>
    <pivotField showAll="0" defaultSubtotal="0"/>
    <pivotField showAll="0" defaultSubtotal="0"/>
    <pivotField showAll="0" defaultSubtotal="0"/>
    <pivotField showAll="0" defaultSubtotal="0"/>
    <pivotField showAll="0" defaultSubtotal="0"/>
    <pivotField dataField="1" numFmtId="44"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6">
    <i>
      <x v="3"/>
    </i>
    <i>
      <x v="4"/>
    </i>
    <i>
      <x v="5"/>
    </i>
    <i>
      <x v="6"/>
    </i>
    <i>
      <x v="7"/>
    </i>
    <i t="grand">
      <x/>
    </i>
  </rowItems>
  <colItems count="1">
    <i/>
  </colItems>
  <dataFields count="1">
    <dataField name="TAXAS " fld="8"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5" applyNumberFormats="0" applyBorderFormats="0" applyFontFormats="0" applyPatternFormats="0" applyAlignmentFormats="0" applyWidthHeightFormats="1" dataCaption="Values" missingCaption="-" updatedVersion="5" minRefreshableVersion="3" preserveFormatting="0" colGrandTotals="0" itemPrintTitles="1" createdVersion="5" indent="0" outline="1" outlineData="1" multipleFieldFilters="0">
  <location ref="L140:P147" firstHeaderRow="1" firstDataRow="2" firstDataCol="1"/>
  <pivotFields count="9">
    <pivotField axis="axisRow" numFmtId="16" showAll="0">
      <items count="15">
        <item x="0"/>
        <item x="1"/>
        <item x="2"/>
        <item x="3"/>
        <item x="4"/>
        <item x="5"/>
        <item x="6"/>
        <item x="7"/>
        <item x="8"/>
        <item x="9"/>
        <item x="10"/>
        <item x="11"/>
        <item x="12"/>
        <item x="13"/>
        <item t="default"/>
      </items>
    </pivotField>
    <pivotField numFmtId="16" showAll="0" defaultSubtotal="0"/>
    <pivotField showAll="0"/>
    <pivotField axis="axisCol" showAll="0" defaultSubtotal="0">
      <items count="5">
        <item x="0"/>
        <item x="1"/>
        <item m="1" x="4"/>
        <item x="3"/>
        <item x="2"/>
      </items>
    </pivotField>
    <pivotField showAll="0" defaultSubtotal="0"/>
    <pivotField showAll="0"/>
    <pivotField showAll="0"/>
    <pivotField numFmtId="44" showAll="0"/>
    <pivotField dataField="1" numFmtId="44" showAll="0"/>
  </pivotFields>
  <rowFields count="1">
    <field x="0"/>
  </rowFields>
  <rowItems count="6">
    <i>
      <x v="3"/>
    </i>
    <i>
      <x v="4"/>
    </i>
    <i>
      <x v="5"/>
    </i>
    <i>
      <x v="6"/>
    </i>
    <i>
      <x v="7"/>
    </i>
    <i t="grand">
      <x/>
    </i>
  </rowItems>
  <colFields count="1">
    <field x="3"/>
  </colFields>
  <colItems count="4">
    <i>
      <x/>
    </i>
    <i>
      <x v="1"/>
    </i>
    <i>
      <x v="3"/>
    </i>
    <i>
      <x v="4"/>
    </i>
  </colItems>
  <dataFields count="1">
    <dataField name="PAYMENT" fld="8" baseField="0" baseItem="0" numFmtId="44"/>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5" minRefreshableVersion="3" subtotalHiddenItems="1" itemPrintTitles="1" createdVersion="5" indent="0" outline="1" outlineData="1" multipleFieldFilters="0">
  <location ref="K18:Q23" firstHeaderRow="0" firstDataRow="1" firstDataCol="1"/>
  <pivotFields count="7">
    <pivotField axis="axisRow" allDrilled="1" showAll="0" dataSourceSort="1">
      <items count="5">
        <item s="1" x="0"/>
        <item s="1" x="1" e="0"/>
        <item s="1" x="2" e="0"/>
        <item s="1" x="3" e="0"/>
        <item t="default"/>
      </items>
    </pivotField>
    <pivotField dataField="1" showAll="0"/>
    <pivotField dataField="1" showAll="0"/>
    <pivotField dataField="1" showAll="0"/>
    <pivotField dataField="1" showAll="0"/>
    <pivotField dataField="1" showAll="0"/>
    <pivotField dataField="1" showAll="0"/>
  </pivotFields>
  <rowFields count="1">
    <field x="0"/>
  </rowFields>
  <rowItems count="5">
    <i>
      <x/>
    </i>
    <i>
      <x v="1"/>
    </i>
    <i>
      <x v="2"/>
    </i>
    <i>
      <x v="3"/>
    </i>
    <i t="grand">
      <x/>
    </i>
  </rowItems>
  <colFields count="1">
    <field x="-2"/>
  </colFields>
  <colItems count="6">
    <i>
      <x/>
    </i>
    <i i="1">
      <x v="1"/>
    </i>
    <i i="2">
      <x v="2"/>
    </i>
    <i i="3">
      <x v="3"/>
    </i>
    <i i="4">
      <x v="4"/>
    </i>
    <i i="5">
      <x v="5"/>
    </i>
  </colItems>
  <dataFields count="6">
    <dataField name=" Resultado" fld="3" baseField="0" baseItem="0" numFmtId="44"/>
    <dataField name=" Rendimento" fld="5" baseField="0" baseItem="0" numFmtId="44"/>
    <dataField name="Md Rend" fld="4" subtotal="average" baseField="0" baseItem="0" numFmtId="44"/>
    <dataField name=" Qntd. Cotas" fld="6" subtotal="average" baseField="0" baseItem="0" numFmtId="43"/>
    <dataField name="Carteria" fld="1" baseField="0" baseItem="0"/>
    <dataField name=" Rend. Cota" fld="2" baseField="0" baseItem="0" numFmtId="44"/>
  </dataFields>
  <formats count="13">
    <format dxfId="36">
      <pivotArea outline="0" collapsedLevelsAreSubtotals="1" fieldPosition="0">
        <references count="1">
          <reference field="4294967294" count="1" selected="0">
            <x v="0"/>
          </reference>
        </references>
      </pivotArea>
    </format>
    <format dxfId="35">
      <pivotArea outline="0" collapsedLevelsAreSubtotals="1" fieldPosition="0">
        <references count="1">
          <reference field="4294967294" count="1" selected="0">
            <x v="2"/>
          </reference>
        </references>
      </pivotArea>
    </format>
    <format dxfId="34">
      <pivotArea dataOnly="0" labelOnly="1" outline="0" fieldPosition="0">
        <references count="1">
          <reference field="4294967294" count="1">
            <x v="2"/>
          </reference>
        </references>
      </pivotArea>
    </format>
    <format dxfId="33">
      <pivotArea outline="0" collapsedLevelsAreSubtotals="1" fieldPosition="0">
        <references count="1">
          <reference field="4294967294" count="1" selected="0">
            <x v="3"/>
          </reference>
        </references>
      </pivotArea>
    </format>
    <format dxfId="32">
      <pivotArea outline="0" collapsedLevelsAreSubtotals="1" fieldPosition="0">
        <references count="1">
          <reference field="4294967294" count="1" selected="0">
            <x v="1"/>
          </reference>
        </references>
      </pivotArea>
    </format>
    <format dxfId="31">
      <pivotArea outline="0" collapsedLevelsAreSubtotals="1" fieldPosition="0"/>
    </format>
    <format dxfId="30">
      <pivotArea type="all" dataOnly="0" outline="0" fieldPosition="0"/>
    </format>
    <format dxfId="29">
      <pivotArea outline="0" collapsedLevelsAreSubtotals="1" fieldPosition="0"/>
    </format>
    <format dxfId="28">
      <pivotArea field="0" type="button" dataOnly="0" labelOnly="1" outline="0" axis="axisRow" fieldPosition="0"/>
    </format>
    <format dxfId="27">
      <pivotArea dataOnly="0" labelOnly="1" fieldPosition="0">
        <references count="1">
          <reference field="0" count="0"/>
        </references>
      </pivotArea>
    </format>
    <format dxfId="26">
      <pivotArea dataOnly="0" labelOnly="1" grandRow="1" outline="0" fieldPosition="0"/>
    </format>
    <format dxfId="25">
      <pivotArea dataOnly="0" labelOnly="1" outline="0" fieldPosition="0">
        <references count="1">
          <reference field="4294967294" count="6">
            <x v="0"/>
            <x v="1"/>
            <x v="2"/>
            <x v="3"/>
            <x v="4"/>
            <x v="5"/>
          </reference>
        </references>
      </pivotArea>
    </format>
    <format dxfId="24">
      <pivotArea outline="0" collapsedLevelsAreSubtotals="1" fieldPosition="0">
        <references count="1">
          <reference field="4294967294" count="1" selected="0">
            <x v="5"/>
          </reference>
        </references>
      </pivotArea>
    </format>
  </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caption="Carteria"/>
    <pivotHierarchy dragToData="1" caption=" Rend. Cota"/>
    <pivotHierarchy dragToData="1" caption=" Resultado"/>
    <pivotHierarchy dragToData="1" caption=" Rendimento"/>
    <pivotHierarchy dragToData="1"/>
    <pivotHierarchy dragToData="1" caption="Md Rend"/>
    <pivotHierarchy dragToData="1" caption=" Qntd. Cotas"/>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Table Style 1"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ontrole]"/>
        <x15:activeTabTopLevelEntity name="[fundo]"/>
      </x15:pivotTableUISettings>
    </ext>
  </extLst>
</pivotTableDefinition>
</file>

<file path=xl/pivotTables/pivotTable6.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itemPrintTitles="1" createdVersion="5" indent="0" outline="1" outlineData="1" multipleFieldFilters="0" rowHeaderCaption="">
  <location ref="K2:N16" firstHeaderRow="0" firstDataRow="1" firstDataCol="1"/>
  <pivotFields count="9">
    <pivotField axis="axisRow" showAll="0" defaultSubtotal="0">
      <items count="6">
        <item h="1" x="0"/>
        <item x="2"/>
        <item h="1" x="1"/>
        <item h="1" x="3"/>
        <item h="1" x="4"/>
        <item h="1" x="5"/>
      </items>
    </pivotField>
    <pivotField axis="axisRow" numFmtId="166" showAll="0" defaultSubtotal="0">
      <items count="12">
        <item x="0"/>
        <item x="1"/>
        <item x="2"/>
        <item x="3"/>
        <item x="4"/>
        <item x="5"/>
        <item x="6"/>
        <item x="7"/>
        <item x="8"/>
        <item x="9"/>
        <item x="10"/>
        <item x="11"/>
      </items>
    </pivotField>
    <pivotField dataField="1" showAll="0" defaultSubtotal="0"/>
    <pivotField dataField="1" showAll="0" defaultSubtotal="0"/>
    <pivotField showAll="0" defaultSubtotal="0"/>
    <pivotField showAll="0" defaultSubtotal="0"/>
    <pivotField dataField="1" showAll="0" defaultSubtotal="0"/>
    <pivotField showAll="0" defaultSubtotal="0"/>
    <pivotField dragToRow="0" dragToCol="0" dragToPage="0" showAll="0" defaultSubtotal="0"/>
  </pivotFields>
  <rowFields count="2">
    <field x="0"/>
    <field x="1"/>
  </rowFields>
  <rowItems count="14">
    <i>
      <x v="1"/>
    </i>
    <i r="1">
      <x/>
    </i>
    <i r="1">
      <x v="1"/>
    </i>
    <i r="1">
      <x v="2"/>
    </i>
    <i r="1">
      <x v="3"/>
    </i>
    <i r="1">
      <x v="4"/>
    </i>
    <i r="1">
      <x v="5"/>
    </i>
    <i r="1">
      <x v="6"/>
    </i>
    <i r="1">
      <x v="7"/>
    </i>
    <i r="1">
      <x v="8"/>
    </i>
    <i r="1">
      <x v="9"/>
    </i>
    <i r="1">
      <x v="10"/>
    </i>
    <i r="1">
      <x v="11"/>
    </i>
    <i t="grand">
      <x/>
    </i>
  </rowItems>
  <colFields count="1">
    <field x="-2"/>
  </colFields>
  <colItems count="3">
    <i>
      <x/>
    </i>
    <i i="1">
      <x v="1"/>
    </i>
    <i i="2">
      <x v="2"/>
    </i>
  </colItems>
  <dataFields count="3">
    <dataField name=" Resultado" fld="2" baseField="0" baseItem="0"/>
    <dataField name=" Rendimento" fld="3" baseField="0" baseItem="0"/>
    <dataField name=" Qntd. Cotas" fld="6" subtotal="average" baseField="0" baseItem="0"/>
  </dataFields>
  <formats count="25">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fieldPosition="0">
        <references count="1">
          <reference field="0" count="0"/>
        </references>
      </pivotArea>
    </format>
    <format dxfId="57">
      <pivotArea dataOnly="0" labelOnly="1" grandRow="1" outline="0" fieldPosition="0"/>
    </format>
    <format dxfId="56">
      <pivotArea dataOnly="0" labelOnly="1" outline="0" fieldPosition="0">
        <references count="1">
          <reference field="4294967294" count="1">
            <x v="0"/>
          </reference>
        </references>
      </pivotArea>
    </format>
    <format dxfId="55">
      <pivotArea outline="0" collapsedLevelsAreSubtotals="1" fieldPosition="0"/>
    </format>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fieldPosition="0">
        <references count="1">
          <reference field="0" count="0"/>
        </references>
      </pivotArea>
    </format>
    <format dxfId="50">
      <pivotArea dataOnly="0" labelOnly="1" grandRow="1" outline="0" fieldPosition="0"/>
    </format>
    <format dxfId="49">
      <pivotArea dataOnly="0" labelOnly="1" outline="0" fieldPosition="0">
        <references count="1">
          <reference field="4294967294" count="3">
            <x v="0"/>
            <x v="1"/>
            <x v="2"/>
          </reference>
        </references>
      </pivotArea>
    </format>
    <format dxfId="48">
      <pivotArea type="all" dataOnly="0" outline="0" fieldPosition="0"/>
    </format>
    <format dxfId="47">
      <pivotArea outline="0" collapsedLevelsAreSubtotals="1" fieldPosition="0"/>
    </format>
    <format dxfId="46">
      <pivotArea field="0" type="button" dataOnly="0" labelOnly="1" outline="0" axis="axisRow" fieldPosition="0"/>
    </format>
    <format dxfId="45">
      <pivotArea dataOnly="0" labelOnly="1" fieldPosition="0">
        <references count="1">
          <reference field="0" count="0"/>
        </references>
      </pivotArea>
    </format>
    <format dxfId="44">
      <pivotArea dataOnly="0" labelOnly="1" grandRow="1" outline="0" fieldPosition="0"/>
    </format>
    <format dxfId="43">
      <pivotArea dataOnly="0" labelOnly="1" outline="0" fieldPosition="0">
        <references count="1">
          <reference field="4294967294" count="3">
            <x v="0"/>
            <x v="1"/>
            <x v="2"/>
          </reference>
        </references>
      </pivotArea>
    </format>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dataOnly="0" labelOnly="1" grandRow="1" outline="0" fieldPosition="0"/>
    </format>
    <format dxfId="37">
      <pivotArea dataOnly="0" labelOnly="1" outline="0" fieldPosition="0">
        <references count="1">
          <reference field="4294967294" count="3">
            <x v="0"/>
            <x v="1"/>
            <x v="2"/>
          </reference>
        </references>
      </pivotArea>
    </format>
  </formats>
  <pivotTableStyleInfo name="PivotStyleLight14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pubhtml" connectionId="1"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PERAÇÃO" sourceName="OPERAÇÃO">
  <pivotTables>
    <pivotTable tabId="12" name="PivotTable3"/>
  </pivotTables>
  <data>
    <tabular pivotCacheId="1">
      <items count="3">
        <i x="0" s="1"/>
        <i x="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IPO" sourceName="TIPO">
  <pivotTables>
    <pivotTable tabId="12" name="PivotTable5"/>
  </pivotTables>
  <data>
    <tabular pivotCacheId="1">
      <items count="4">
        <i x="0" s="1"/>
        <i x="1" s="1"/>
        <i x="3" s="1" nd="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ATURAMENTO" sourceName="FATURAMENTO">
  <pivotTables>
    <pivotTable tabId="12" name="PivotTable5"/>
    <pivotTable tabId="12" name="PivotTable3"/>
  </pivotTables>
  <data>
    <tabular pivotCacheId="1">
      <items count="4">
        <i x="2" s="1"/>
        <i x="1" s="1"/>
        <i x="0"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undo" sourceName="Fundo">
  <pivotTables>
    <pivotTable tabId="20" name="PivotTable1"/>
  </pivotTables>
  <data>
    <tabular pivotCacheId="3">
      <items count="6">
        <i x="4"/>
        <i x="0"/>
        <i x="2" s="1"/>
        <i x="1"/>
        <i x="5"/>
        <i x="3"/>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eriodo" sourceName="Periodo">
  <data>
    <tabular pivotCacheId="3">
      <items count="12">
        <i x="0"/>
        <i x="1"/>
        <i x="2"/>
        <i x="3"/>
        <i x="4"/>
        <i x="5" s="1"/>
        <i x="6"/>
        <i x="7"/>
        <i x="8"/>
        <i x="9"/>
        <i x="10"/>
        <i x="1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eriodo1" sourceName="[fundo].[Periodo]">
  <pivotTables>
    <pivotTable tabId="12" name="PivotTable7"/>
  </pivotTables>
  <data>
    <olap pivotCacheId="30">
      <levels count="2">
        <level uniqueName="[fundo].[Periodo].[(All)]" sourceCaption="(All)" count="0"/>
        <level uniqueName="[fundo].[Periodo].[Periodo]" sourceCaption="Periodo" count="12">
          <ranges>
            <range startItem="0">
              <i n="[fundo].[Periodo].&amp;[2020-01-01T00:00:00]" c="01/01/2020"/>
              <i n="[fundo].[Periodo].&amp;[2020-02-01T00:00:00]" c="01/02/2020"/>
              <i n="[fundo].[Periodo].&amp;[2020-03-01T00:00:00]" c="01/03/2020"/>
              <i n="[fundo].[Periodo].&amp;[2020-04-01T00:00:00]" c="01/04/2020"/>
              <i n="[fundo].[Periodo].&amp;[2020-05-01T00:00:00]" c="01/05/2020"/>
              <i n="[fundo].[Periodo].&amp;[2020-06-01T00:00:00]" c="01/06/2020"/>
              <i n="[fundo].[Periodo].&amp;[2020-07-01T00:00:00]" c="01/07/2020"/>
              <i n="[fundo].[Periodo].&amp;[2020-08-01T00:00:00]" c="01/08/2020"/>
              <i n="[fundo].[Periodo].&amp;[2020-09-01T00:00:00]" c="01/09/2020"/>
              <i n="[fundo].[Periodo].&amp;[2020-10-01T00:00:00]" c="01/10/2020"/>
              <i n="[fundo].[Periodo].&amp;[2020-11-01T00:00:00]" c="01/11/2020"/>
              <i n="[fundo].[Periodo].&amp;[2020-12-01T00:00:00]" c="01/12/2020"/>
            </range>
          </ranges>
        </level>
      </levels>
      <selections count="1">
        <selection n="[fundo].[Periodo].[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ÇÃO" sourceName="AÇÃO">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PERAÇÃO" cache="Slicer_OPERAÇÃO" caption="OPERAÇÃO" style="Foco preto" rowHeight="241300"/>
  <slicer name="TIPO" cache="Slicer_TIPO" caption="TIPO" style="Foco preto" rowHeight="241300"/>
  <slicer name="FATURAMENTO" cache="Slicer_FATURAMENTO" caption="FATURAMENTO" style="Foco preto" rowHeight="241300"/>
  <slicer name="Periodo 1" cache="Slicer_Periodo1" caption="Periodo" columnCount="2" level="1" style="Foco preto"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AÇÃO" cache="Slicer_AÇÃO" caption="AÇÃO" columnCount="5" style="Foco preto"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undo" cache="Slicer_Fundo" caption="Fundo" columnCount="3" showCaption="0" style="Foco preto" rowHeight="241300"/>
  <slicer name="Periodo" cache="Slicer_Periodo" caption="Periodo" columnCount="4" style="Foco preto" rowHeight="241300"/>
</slicers>
</file>

<file path=xl/tables/table1.xml><?xml version="1.0" encoding="utf-8"?>
<table xmlns="http://schemas.openxmlformats.org/spreadsheetml/2006/main" id="1" name="ações2" displayName="ações2" ref="B1:J186" totalsRowShown="0" headerRowDxfId="102" dataDxfId="101">
  <autoFilter ref="B1:J186"/>
  <sortState ref="B2:L143">
    <sortCondition ref="B2"/>
  </sortState>
  <tableColumns count="9">
    <tableColumn id="1" name="DATA" dataDxfId="100"/>
    <tableColumn id="2" name="FATURAMENTO" dataDxfId="99"/>
    <tableColumn id="10" name="TIPO" dataDxfId="98"/>
    <tableColumn id="3" name="AÇÃO" dataDxfId="97"/>
    <tableColumn id="11" name="OPERAÇÃO" dataDxfId="96"/>
    <tableColumn id="4" name="QNTD" dataDxfId="95"/>
    <tableColumn id="9" name="PREÇO" dataDxfId="94" dataCellStyle="Currency"/>
    <tableColumn id="5" name="VALOR" dataDxfId="93" dataCellStyle="Currency">
      <calculatedColumnFormula>(ações2[[#This Row],[PREÇO]]*ações2[[#This Row],[QNTD]])</calculatedColumnFormula>
    </tableColumn>
    <tableColumn id="7" name="TAXAS" dataDxfId="92" dataCellStyle="Currency"/>
  </tableColumns>
  <tableStyleInfo name="TableStyleLight14" showFirstColumn="0" showLastColumn="0" showRowStripes="1" showColumnStripes="0"/>
</table>
</file>

<file path=xl/tables/table2.xml><?xml version="1.0" encoding="utf-8"?>
<table xmlns="http://schemas.openxmlformats.org/spreadsheetml/2006/main" id="2" name="controle" displayName="controle" ref="L165:S185" headerRowDxfId="91" dataDxfId="90">
  <autoFilter ref="L165:S185"/>
  <sortState ref="L164:S183">
    <sortCondition ref="L164"/>
  </sortState>
  <tableColumns count="8">
    <tableColumn id="1" name="AÇÃO" totalsRowLabel="Total" dataDxfId="89" totalsRowDxfId="88"/>
    <tableColumn id="6" name="QNTD" dataDxfId="87" totalsRowDxfId="86">
      <calculatedColumnFormula>SUMIFS(ações2[QNTD],ações2[AÇÃO],controle[[#This Row],[AÇÃO]],ações2[OPERAÇÃO],$F$2)</calculatedColumnFormula>
    </tableColumn>
    <tableColumn id="2" name="P. MEDIO" dataDxfId="85" totalsRowDxfId="84">
      <calculatedColumnFormula>IFERROR(SUMIFS(ações2[VALOR],ações2[AÇÃO],controle[[#This Row],[AÇÃO]],ações2[OPERAÇÃO],Investimentos!$F$2)/SUMIFS(ações2[QNTD],ações2[AÇÃO],controle[[#This Row],[AÇÃO]],ações2[OPERAÇÃO],Investimentos!$F$2),0)</calculatedColumnFormula>
    </tableColumn>
    <tableColumn id="3" name="COTAÇÃO" dataDxfId="83" totalsRowDxfId="82">
      <calculatedColumnFormula>VLOOKUP(controle[[#This Row],[AÇÃO]],Sheet8!C:G,3,FALSE)</calculatedColumnFormula>
    </tableColumn>
    <tableColumn id="4" name="GASTO" totalsRowFunction="sum" dataDxfId="81" totalsRowDxfId="80" dataCellStyle="Currency">
      <calculatedColumnFormula>controle[[#This Row],[P. MEDIO]]*controle[[#This Row],[QNTD]]</calculatedColumnFormula>
    </tableColumn>
    <tableColumn id="8" name="MERCADO" totalsRowFunction="sum" dataDxfId="79" totalsRowDxfId="78" dataCellStyle="Currency">
      <calculatedColumnFormula>controle[[#This Row],[COTAÇÃO]]*controle[[#This Row],[QNTD]]</calculatedColumnFormula>
    </tableColumn>
    <tableColumn id="5" name="RESULTADO" dataDxfId="77" totalsRowDxfId="76" dataCellStyle="Currency">
      <calculatedColumnFormula>(controle[[#This Row],[MERCADO]]-controle[[#This Row],[GASTO]])</calculatedColumnFormula>
    </tableColumn>
    <tableColumn id="7" name="%" totalsRowFunction="var" dataDxfId="75" totalsRowDxfId="74" dataCellStyle="Percent"/>
  </tableColumns>
  <tableStyleInfo name="TableStyleLight21" showFirstColumn="0" showLastColumn="0" showRowStripes="1" showColumnStripes="0"/>
</table>
</file>

<file path=xl/tables/table3.xml><?xml version="1.0" encoding="utf-8"?>
<table xmlns="http://schemas.openxmlformats.org/spreadsheetml/2006/main" id="3" name="Table3" displayName="Table3" ref="T133:W138" totalsRowCount="1" headerRowDxfId="73" headerRowBorderDxfId="72" tableBorderDxfId="71" totalsRowBorderDxfId="70">
  <autoFilter ref="T133:W137">
    <filterColumn colId="0" hiddenButton="1"/>
    <filterColumn colId="1" hiddenButton="1"/>
    <filterColumn colId="2" hiddenButton="1"/>
    <filterColumn colId="3" hiddenButton="1"/>
  </autoFilter>
  <tableColumns count="4">
    <tableColumn id="1" name="Pagamento" totalsRowFunction="sum" dataDxfId="69" totalsRowDxfId="68" dataCellStyle="Comma">
      <calculatedColumnFormula>Q134*R134</calculatedColumnFormula>
    </tableColumn>
    <tableColumn id="2" name="%Yield" totalsRowFunction="custom" dataDxfId="67" totalsRowDxfId="66" dataCellStyle="Percent">
      <calculatedColumnFormula>R134/S134</calculatedColumnFormula>
      <totalsRowFormula>GETPIVOTDATA("[Measures].[Sum of Rend Cota]",$L$133)/GETPIVOTDATA("[Measures].[Sum of COTAÇÃO]",$L$133)</totalsRowFormula>
    </tableColumn>
    <tableColumn id="3" name="Previsão" totalsRowFunction="sum" dataDxfId="65" totalsRowDxfId="64" dataCellStyle="Comma">
      <calculatedColumnFormula>'Funds Rend'!P3</calculatedColumnFormula>
    </tableColumn>
    <tableColumn id="4" name="Prev. Pag." totalsRowFunction="sum" dataDxfId="63" totalsRowDxfId="62" dataCellStyle="Comma">
      <calculatedColumnFormula>'Funds Rend'!Q3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fundo" displayName="fundo" ref="B2:I74" totalsRowShown="0" headerRowDxfId="23" dataDxfId="21" headerRowBorderDxfId="22" tableBorderDxfId="20" totalsRowBorderDxfId="19" headerRowCellStyle="Comma" dataCellStyle="Comma">
  <autoFilter ref="B2:I74"/>
  <tableColumns count="8">
    <tableColumn id="1" name="Fundo" dataDxfId="18" dataCellStyle="Comma"/>
    <tableColumn id="2" name="Periodo" dataDxfId="17" dataCellStyle="Comma"/>
    <tableColumn id="3" name="Resultado" dataDxfId="16" dataCellStyle="Comma"/>
    <tableColumn id="4" name="Rendimento" dataDxfId="15" dataCellStyle="Comma"/>
    <tableColumn id="5" name="Resul. Cota" dataDxfId="14" dataCellStyle="Comma"/>
    <tableColumn id="6" name="Rend. Cota" dataDxfId="13" dataCellStyle="Comma"/>
    <tableColumn id="7" name="Qntd. Cotas" dataDxfId="12" dataCellStyle="Comma"/>
    <tableColumn id="8" name="P/VPA" dataDxfId="11" dataCellStyle="Comma"/>
  </tableColumns>
  <tableStyleInfo name="TableStyleMedium2" showFirstColumn="0" showLastColumn="0" showRowStripes="1" showColumnStripes="0"/>
</table>
</file>

<file path=xl/tables/table5.xml><?xml version="1.0" encoding="utf-8"?>
<table xmlns="http://schemas.openxmlformats.org/spreadsheetml/2006/main" id="10" name="payload" displayName="payload" ref="A1:I53" totalsRowShown="0" headerRowDxfId="10" dataDxfId="9">
  <autoFilter ref="A1:I53"/>
  <tableColumns count="9">
    <tableColumn id="1" name="DATA COM" dataDxfId="8"/>
    <tableColumn id="2" name="DATA EX" dataDxfId="7"/>
    <tableColumn id="10" name="MES" dataDxfId="6"/>
    <tableColumn id="8" name="OPERAÇÃO" dataDxfId="5"/>
    <tableColumn id="3" name="MEIO" dataDxfId="4"/>
    <tableColumn id="9" name="TIPO" dataDxfId="3"/>
    <tableColumn id="4" name="QNTD" dataDxfId="2"/>
    <tableColumn id="5" name="PREÇO" dataDxfId="1" dataCellStyle="Currency"/>
    <tableColumn id="6" name="VALOR" dataDxfId="0" dataCellStyle="Currency">
      <calculatedColumnFormula>payload[PREÇO]*payload[QNTD]</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image" Target="../media/image1.jpeg"/><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microsoft.com/office/2007/relationships/slicer" Target="../slicers/slicer1.xml"/><Relationship Id="rId5" Type="http://schemas.openxmlformats.org/officeDocument/2006/relationships/printerSettings" Target="../printerSettings/printerSettings1.bin"/><Relationship Id="rId10" Type="http://schemas.openxmlformats.org/officeDocument/2006/relationships/table" Target="../tables/table3.xml"/><Relationship Id="rId4" Type="http://schemas.openxmlformats.org/officeDocument/2006/relationships/pivotTable" Target="../pivotTables/pivotTable4.xml"/><Relationship Id="rId9"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microsoft.com/office/2007/relationships/slicer" Target="../slicers/slicer3.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image" Target="../media/image1.jpeg"/><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image" Target="../media/image1.jpeg"/><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W195"/>
  <sheetViews>
    <sheetView showGridLines="0" tabSelected="1" topLeftCell="A166" zoomScale="84" zoomScaleNormal="100" workbookViewId="0">
      <selection activeCell="P188" sqref="P188"/>
    </sheetView>
  </sheetViews>
  <sheetFormatPr defaultRowHeight="15" x14ac:dyDescent="0.25"/>
  <cols>
    <col min="1" max="1" width="2.42578125" customWidth="1"/>
    <col min="2" max="2" width="9.140625" customWidth="1"/>
    <col min="3" max="3" width="13.28515625" customWidth="1"/>
    <col min="4" max="4" width="8.28515625" customWidth="1"/>
    <col min="5" max="5" width="10" customWidth="1"/>
    <col min="6" max="6" width="9.42578125" customWidth="1"/>
    <col min="7" max="7" width="5.28515625" customWidth="1"/>
    <col min="8" max="8" width="11.140625" customWidth="1"/>
    <col min="9" max="9" width="12" customWidth="1"/>
    <col min="10" max="10" width="10" customWidth="1"/>
    <col min="11" max="11" width="2" customWidth="1"/>
    <col min="12" max="12" width="10.5703125" customWidth="1"/>
    <col min="13" max="14" width="12.42578125" customWidth="1"/>
    <col min="15" max="15" width="13.140625" customWidth="1"/>
    <col min="16" max="16" width="12.7109375" customWidth="1"/>
    <col min="17" max="17" width="12.5703125" customWidth="1"/>
    <col min="18" max="18" width="10.7109375" customWidth="1"/>
    <col min="19" max="19" width="10.85546875" customWidth="1"/>
    <col min="20" max="20" width="10.7109375" customWidth="1"/>
    <col min="21" max="21" width="8" customWidth="1"/>
    <col min="22" max="22" width="12.28515625" customWidth="1"/>
    <col min="23" max="23" width="10.85546875" customWidth="1"/>
  </cols>
  <sheetData>
    <row r="1" spans="2:10" x14ac:dyDescent="0.25">
      <c r="B1" s="29" t="s">
        <v>67</v>
      </c>
      <c r="C1" s="29" t="s">
        <v>66</v>
      </c>
      <c r="D1" s="29" t="s">
        <v>4</v>
      </c>
      <c r="E1" s="29" t="s">
        <v>8</v>
      </c>
      <c r="F1" s="29" t="s">
        <v>55</v>
      </c>
      <c r="G1" s="29" t="s">
        <v>9</v>
      </c>
      <c r="H1" s="35" t="s">
        <v>10</v>
      </c>
      <c r="I1" s="35" t="s">
        <v>5</v>
      </c>
      <c r="J1" s="35" t="s">
        <v>11</v>
      </c>
    </row>
    <row r="2" spans="2:10" x14ac:dyDescent="0.25">
      <c r="B2" s="48">
        <v>43891</v>
      </c>
      <c r="C2" s="48" t="s">
        <v>76</v>
      </c>
      <c r="D2" s="48" t="s">
        <v>8</v>
      </c>
      <c r="E2" s="49" t="s">
        <v>0</v>
      </c>
      <c r="F2" s="49" t="s">
        <v>68</v>
      </c>
      <c r="G2" s="49"/>
      <c r="H2" s="50"/>
      <c r="I2" s="35"/>
      <c r="J2" s="35">
        <v>0</v>
      </c>
    </row>
    <row r="3" spans="2:10" x14ac:dyDescent="0.25">
      <c r="B3" s="48">
        <v>43891</v>
      </c>
      <c r="C3" s="48" t="s">
        <v>76</v>
      </c>
      <c r="D3" s="48" t="s">
        <v>8</v>
      </c>
      <c r="E3" s="49" t="s">
        <v>43</v>
      </c>
      <c r="F3" s="49" t="s">
        <v>68</v>
      </c>
      <c r="G3" s="49"/>
      <c r="H3" s="50"/>
      <c r="I3" s="35"/>
      <c r="J3" s="35">
        <v>0</v>
      </c>
    </row>
    <row r="4" spans="2:10" x14ac:dyDescent="0.25">
      <c r="B4" s="48">
        <v>43891</v>
      </c>
      <c r="C4" s="48" t="s">
        <v>76</v>
      </c>
      <c r="D4" s="48" t="s">
        <v>8</v>
      </c>
      <c r="E4" s="49" t="s">
        <v>22</v>
      </c>
      <c r="F4" s="49" t="s">
        <v>68</v>
      </c>
      <c r="G4" s="49"/>
      <c r="H4" s="50"/>
      <c r="I4" s="35"/>
      <c r="J4" s="35">
        <v>0</v>
      </c>
    </row>
    <row r="5" spans="2:10" x14ac:dyDescent="0.25">
      <c r="B5" s="48">
        <v>43891</v>
      </c>
      <c r="C5" s="48" t="s">
        <v>76</v>
      </c>
      <c r="D5" s="48" t="s">
        <v>8</v>
      </c>
      <c r="E5" s="49" t="s">
        <v>19</v>
      </c>
      <c r="F5" s="49" t="s">
        <v>68</v>
      </c>
      <c r="G5" s="49"/>
      <c r="H5" s="50"/>
      <c r="I5" s="35"/>
      <c r="J5" s="35">
        <v>0</v>
      </c>
    </row>
    <row r="6" spans="2:10" x14ac:dyDescent="0.25">
      <c r="B6" s="48">
        <v>43891</v>
      </c>
      <c r="C6" s="48" t="s">
        <v>76</v>
      </c>
      <c r="D6" s="48" t="s">
        <v>8</v>
      </c>
      <c r="E6" s="49" t="s">
        <v>2</v>
      </c>
      <c r="F6" s="49" t="s">
        <v>68</v>
      </c>
      <c r="G6" s="49"/>
      <c r="H6" s="50"/>
      <c r="I6" s="35"/>
      <c r="J6" s="35">
        <v>0</v>
      </c>
    </row>
    <row r="7" spans="2:10" x14ac:dyDescent="0.25">
      <c r="B7" s="48">
        <v>43891</v>
      </c>
      <c r="C7" s="48" t="s">
        <v>76</v>
      </c>
      <c r="D7" s="48" t="s">
        <v>8</v>
      </c>
      <c r="E7" s="49" t="s">
        <v>3</v>
      </c>
      <c r="F7" s="49" t="s">
        <v>68</v>
      </c>
      <c r="G7" s="49"/>
      <c r="H7" s="50"/>
      <c r="I7" s="35"/>
      <c r="J7" s="35">
        <v>0</v>
      </c>
    </row>
    <row r="8" spans="2:10" x14ac:dyDescent="0.25">
      <c r="B8" s="48">
        <v>43891</v>
      </c>
      <c r="C8" s="48" t="s">
        <v>76</v>
      </c>
      <c r="D8" s="48" t="s">
        <v>8</v>
      </c>
      <c r="E8" s="49" t="s">
        <v>20</v>
      </c>
      <c r="F8" s="49" t="s">
        <v>68</v>
      </c>
      <c r="G8" s="49"/>
      <c r="H8" s="50"/>
      <c r="I8" s="35"/>
      <c r="J8" s="35">
        <v>0</v>
      </c>
    </row>
    <row r="9" spans="2:10" x14ac:dyDescent="0.25">
      <c r="B9" s="48">
        <v>43891</v>
      </c>
      <c r="C9" s="48" t="s">
        <v>76</v>
      </c>
      <c r="D9" s="48" t="s">
        <v>8</v>
      </c>
      <c r="E9" s="49" t="s">
        <v>24</v>
      </c>
      <c r="F9" s="49" t="s">
        <v>68</v>
      </c>
      <c r="G9" s="49"/>
      <c r="H9" s="50"/>
      <c r="I9" s="35"/>
      <c r="J9" s="35">
        <v>0</v>
      </c>
    </row>
    <row r="10" spans="2:10" x14ac:dyDescent="0.25">
      <c r="B10" s="48">
        <v>43891</v>
      </c>
      <c r="C10" s="48" t="s">
        <v>76</v>
      </c>
      <c r="D10" s="48" t="s">
        <v>8</v>
      </c>
      <c r="E10" s="49" t="s">
        <v>1</v>
      </c>
      <c r="F10" s="49" t="s">
        <v>68</v>
      </c>
      <c r="G10" s="49"/>
      <c r="H10" s="50"/>
      <c r="I10" s="35"/>
      <c r="J10" s="35">
        <v>0</v>
      </c>
    </row>
    <row r="11" spans="2:10" x14ac:dyDescent="0.25">
      <c r="B11" s="48">
        <v>43891</v>
      </c>
      <c r="C11" s="48" t="s">
        <v>76</v>
      </c>
      <c r="D11" s="48" t="s">
        <v>8</v>
      </c>
      <c r="E11" s="49" t="s">
        <v>48</v>
      </c>
      <c r="F11" s="49" t="s">
        <v>68</v>
      </c>
      <c r="G11" s="49"/>
      <c r="H11" s="50"/>
      <c r="I11" s="35"/>
      <c r="J11" s="35">
        <v>0</v>
      </c>
    </row>
    <row r="12" spans="2:10" x14ac:dyDescent="0.25">
      <c r="B12" s="48">
        <v>43891</v>
      </c>
      <c r="C12" s="48" t="s">
        <v>76</v>
      </c>
      <c r="D12" s="48" t="s">
        <v>8</v>
      </c>
      <c r="E12" s="49" t="s">
        <v>41</v>
      </c>
      <c r="F12" s="49" t="s">
        <v>68</v>
      </c>
      <c r="G12" s="49"/>
      <c r="H12" s="50"/>
      <c r="I12" s="35"/>
      <c r="J12" s="35">
        <v>0</v>
      </c>
    </row>
    <row r="13" spans="2:10" x14ac:dyDescent="0.25">
      <c r="B13" s="48">
        <v>43891</v>
      </c>
      <c r="C13" s="48" t="s">
        <v>76</v>
      </c>
      <c r="D13" s="48" t="s">
        <v>8</v>
      </c>
      <c r="E13" s="49" t="s">
        <v>38</v>
      </c>
      <c r="F13" s="49" t="s">
        <v>68</v>
      </c>
      <c r="G13" s="49"/>
      <c r="H13" s="50"/>
      <c r="I13" s="35"/>
      <c r="J13" s="35">
        <v>0</v>
      </c>
    </row>
    <row r="14" spans="2:10" x14ac:dyDescent="0.25">
      <c r="B14" s="23">
        <v>43891</v>
      </c>
      <c r="C14" s="48" t="s">
        <v>76</v>
      </c>
      <c r="D14" s="23" t="s">
        <v>8</v>
      </c>
      <c r="E14" s="29" t="s">
        <v>12</v>
      </c>
      <c r="F14" s="29" t="s">
        <v>68</v>
      </c>
      <c r="G14" s="29"/>
      <c r="H14" s="35"/>
      <c r="I14" s="35"/>
      <c r="J14" s="35">
        <v>0</v>
      </c>
    </row>
    <row r="15" spans="2:10" x14ac:dyDescent="0.25">
      <c r="B15" s="23">
        <v>43891</v>
      </c>
      <c r="C15" s="48" t="s">
        <v>76</v>
      </c>
      <c r="D15" s="23" t="s">
        <v>40</v>
      </c>
      <c r="E15" s="29" t="s">
        <v>39</v>
      </c>
      <c r="F15" s="29" t="s">
        <v>68</v>
      </c>
      <c r="G15" s="29"/>
      <c r="H15" s="35"/>
      <c r="I15" s="35"/>
      <c r="J15" s="35">
        <v>0</v>
      </c>
    </row>
    <row r="16" spans="2:10" x14ac:dyDescent="0.25">
      <c r="B16" s="23">
        <v>43891</v>
      </c>
      <c r="C16" s="48" t="s">
        <v>76</v>
      </c>
      <c r="D16" s="23" t="s">
        <v>40</v>
      </c>
      <c r="E16" s="29" t="s">
        <v>33</v>
      </c>
      <c r="F16" s="29" t="s">
        <v>68</v>
      </c>
      <c r="G16" s="29"/>
      <c r="H16" s="35"/>
      <c r="I16" s="35"/>
      <c r="J16" s="35">
        <v>0</v>
      </c>
    </row>
    <row r="17" spans="2:10" x14ac:dyDescent="0.25">
      <c r="B17" s="23">
        <v>43907</v>
      </c>
      <c r="C17" s="23" t="s">
        <v>64</v>
      </c>
      <c r="D17" s="23" t="s">
        <v>8</v>
      </c>
      <c r="E17" s="29" t="s">
        <v>0</v>
      </c>
      <c r="F17" s="29" t="s">
        <v>69</v>
      </c>
      <c r="G17" s="29">
        <v>1</v>
      </c>
      <c r="H17" s="35">
        <v>7.96</v>
      </c>
      <c r="I17" s="35">
        <f>(ações2[[#This Row],[PREÇO]]*ações2[[#This Row],[QNTD]])</f>
        <v>7.96</v>
      </c>
      <c r="J17" s="35">
        <v>0</v>
      </c>
    </row>
    <row r="18" spans="2:10" x14ac:dyDescent="0.25">
      <c r="B18" s="23">
        <v>43909</v>
      </c>
      <c r="C18" s="23" t="s">
        <v>64</v>
      </c>
      <c r="D18" s="23" t="s">
        <v>8</v>
      </c>
      <c r="E18" s="29" t="s">
        <v>0</v>
      </c>
      <c r="F18" s="29" t="s">
        <v>69</v>
      </c>
      <c r="G18" s="29">
        <v>1</v>
      </c>
      <c r="H18" s="35">
        <v>6.95</v>
      </c>
      <c r="I18" s="35">
        <f>(ações2[[#This Row],[PREÇO]]*ações2[[#This Row],[QNTD]])</f>
        <v>6.95</v>
      </c>
      <c r="J18" s="35">
        <v>0</v>
      </c>
    </row>
    <row r="19" spans="2:10" x14ac:dyDescent="0.25">
      <c r="B19" s="23">
        <v>43910</v>
      </c>
      <c r="C19" s="23" t="s">
        <v>64</v>
      </c>
      <c r="D19" s="23" t="s">
        <v>8</v>
      </c>
      <c r="E19" s="29" t="s">
        <v>1</v>
      </c>
      <c r="F19" s="29" t="s">
        <v>68</v>
      </c>
      <c r="G19" s="29">
        <v>1</v>
      </c>
      <c r="H19" s="35">
        <v>11.3</v>
      </c>
      <c r="I19" s="35">
        <f>(ações2[[#This Row],[PREÇO]]*ações2[[#This Row],[QNTD]])</f>
        <v>11.3</v>
      </c>
      <c r="J19" s="35">
        <v>0</v>
      </c>
    </row>
    <row r="20" spans="2:10" x14ac:dyDescent="0.25">
      <c r="B20" s="23">
        <v>43913</v>
      </c>
      <c r="C20" s="23" t="s">
        <v>64</v>
      </c>
      <c r="D20" s="23" t="s">
        <v>8</v>
      </c>
      <c r="E20" s="29" t="s">
        <v>1</v>
      </c>
      <c r="F20" s="29" t="s">
        <v>68</v>
      </c>
      <c r="G20" s="29">
        <v>1</v>
      </c>
      <c r="H20" s="35">
        <v>10.59</v>
      </c>
      <c r="I20" s="35">
        <f>(ações2[[#This Row],[PREÇO]]*ações2[[#This Row],[QNTD]])</f>
        <v>10.59</v>
      </c>
      <c r="J20" s="35">
        <v>0</v>
      </c>
    </row>
    <row r="21" spans="2:10" x14ac:dyDescent="0.25">
      <c r="B21" s="23">
        <v>43914</v>
      </c>
      <c r="C21" s="23" t="s">
        <v>64</v>
      </c>
      <c r="D21" s="23" t="s">
        <v>8</v>
      </c>
      <c r="E21" s="29" t="s">
        <v>2</v>
      </c>
      <c r="F21" s="29" t="s">
        <v>68</v>
      </c>
      <c r="G21" s="29">
        <v>4</v>
      </c>
      <c r="H21" s="35">
        <v>7.61</v>
      </c>
      <c r="I21" s="35">
        <f>(ações2[[#This Row],[PREÇO]]*ações2[[#This Row],[QNTD]])</f>
        <v>30.44</v>
      </c>
      <c r="J21" s="35">
        <v>0.01</v>
      </c>
    </row>
    <row r="22" spans="2:10" x14ac:dyDescent="0.25">
      <c r="B22" s="23">
        <v>43914</v>
      </c>
      <c r="C22" s="23" t="s">
        <v>64</v>
      </c>
      <c r="D22" s="23" t="s">
        <v>8</v>
      </c>
      <c r="E22" s="29" t="s">
        <v>3</v>
      </c>
      <c r="F22" s="29" t="s">
        <v>68</v>
      </c>
      <c r="G22" s="29">
        <v>2</v>
      </c>
      <c r="H22" s="35">
        <v>8.11</v>
      </c>
      <c r="I22" s="35">
        <f>(ações2[[#This Row],[PREÇO]]*ações2[[#This Row],[QNTD]])</f>
        <v>16.22</v>
      </c>
      <c r="J22" s="35">
        <v>0</v>
      </c>
    </row>
    <row r="23" spans="2:10" x14ac:dyDescent="0.25">
      <c r="B23" s="23">
        <v>43915</v>
      </c>
      <c r="C23" s="23" t="s">
        <v>64</v>
      </c>
      <c r="D23" s="23" t="s">
        <v>8</v>
      </c>
      <c r="E23" s="29" t="s">
        <v>3</v>
      </c>
      <c r="F23" s="29" t="s">
        <v>68</v>
      </c>
      <c r="G23" s="29">
        <v>2</v>
      </c>
      <c r="H23" s="35">
        <v>8.06</v>
      </c>
      <c r="I23" s="35">
        <f>(ações2[[#This Row],[PREÇO]]*ações2[[#This Row],[QNTD]])</f>
        <v>16.12</v>
      </c>
      <c r="J23" s="35">
        <v>0</v>
      </c>
    </row>
    <row r="24" spans="2:10" x14ac:dyDescent="0.25">
      <c r="B24" s="23">
        <v>43915</v>
      </c>
      <c r="C24" s="23" t="s">
        <v>64</v>
      </c>
      <c r="D24" s="23" t="s">
        <v>8</v>
      </c>
      <c r="E24" s="29" t="s">
        <v>3</v>
      </c>
      <c r="F24" s="29" t="s">
        <v>68</v>
      </c>
      <c r="G24" s="29">
        <v>2</v>
      </c>
      <c r="H24" s="35">
        <v>8.23</v>
      </c>
      <c r="I24" s="35">
        <f>(ações2[[#This Row],[PREÇO]]*ações2[[#This Row],[QNTD]])</f>
        <v>16.46</v>
      </c>
      <c r="J24" s="35">
        <v>0.01</v>
      </c>
    </row>
    <row r="25" spans="2:10" x14ac:dyDescent="0.25">
      <c r="B25" s="23">
        <v>43915</v>
      </c>
      <c r="C25" s="23" t="s">
        <v>64</v>
      </c>
      <c r="D25" s="23" t="s">
        <v>8</v>
      </c>
      <c r="E25" s="29" t="s">
        <v>3</v>
      </c>
      <c r="F25" s="29" t="s">
        <v>68</v>
      </c>
      <c r="G25" s="29">
        <v>2</v>
      </c>
      <c r="H25" s="35">
        <v>8.2200000000000006</v>
      </c>
      <c r="I25" s="35">
        <f>(ações2[[#This Row],[PREÇO]]*ações2[[#This Row],[QNTD]])</f>
        <v>16.440000000000001</v>
      </c>
      <c r="J25" s="35">
        <v>0</v>
      </c>
    </row>
    <row r="26" spans="2:10" x14ac:dyDescent="0.25">
      <c r="B26" s="23">
        <v>43915</v>
      </c>
      <c r="C26" s="23" t="s">
        <v>64</v>
      </c>
      <c r="D26" s="23" t="s">
        <v>8</v>
      </c>
      <c r="E26" s="29" t="s">
        <v>2</v>
      </c>
      <c r="F26" s="29" t="s">
        <v>68</v>
      </c>
      <c r="G26" s="29">
        <v>1</v>
      </c>
      <c r="H26" s="35">
        <v>7.98</v>
      </c>
      <c r="I26" s="35">
        <f>(ações2[[#This Row],[PREÇO]]*ações2[[#This Row],[QNTD]])</f>
        <v>7.98</v>
      </c>
      <c r="J26" s="35">
        <v>0</v>
      </c>
    </row>
    <row r="27" spans="2:10" x14ac:dyDescent="0.25">
      <c r="B27" s="23">
        <v>43916</v>
      </c>
      <c r="C27" s="23" t="s">
        <v>64</v>
      </c>
      <c r="D27" s="23" t="s">
        <v>8</v>
      </c>
      <c r="E27" s="29" t="s">
        <v>12</v>
      </c>
      <c r="F27" s="29" t="s">
        <v>68</v>
      </c>
      <c r="G27" s="29">
        <v>5</v>
      </c>
      <c r="H27" s="35">
        <v>8.5500000000000007</v>
      </c>
      <c r="I27" s="35">
        <f>(ações2[[#This Row],[PREÇO]]*ações2[[#This Row],[QNTD]])</f>
        <v>42.75</v>
      </c>
      <c r="J27" s="35">
        <v>0</v>
      </c>
    </row>
    <row r="28" spans="2:10" x14ac:dyDescent="0.25">
      <c r="B28" s="23">
        <v>43916</v>
      </c>
      <c r="C28" s="23" t="s">
        <v>64</v>
      </c>
      <c r="D28" s="23" t="s">
        <v>8</v>
      </c>
      <c r="E28" s="29" t="s">
        <v>12</v>
      </c>
      <c r="F28" s="29" t="s">
        <v>68</v>
      </c>
      <c r="G28" s="29">
        <v>5</v>
      </c>
      <c r="H28" s="35">
        <v>8.98</v>
      </c>
      <c r="I28" s="35">
        <f>(ações2[[#This Row],[PREÇO]]*ações2[[#This Row],[QNTD]])</f>
        <v>44.900000000000006</v>
      </c>
      <c r="J28" s="35">
        <v>0.01</v>
      </c>
    </row>
    <row r="29" spans="2:10" x14ac:dyDescent="0.25">
      <c r="B29" s="23">
        <v>43916</v>
      </c>
      <c r="C29" s="23" t="s">
        <v>64</v>
      </c>
      <c r="D29" s="23" t="s">
        <v>8</v>
      </c>
      <c r="E29" s="29" t="s">
        <v>3</v>
      </c>
      <c r="F29" s="29" t="s">
        <v>68</v>
      </c>
      <c r="G29" s="29">
        <v>3</v>
      </c>
      <c r="H29" s="35">
        <v>9.02</v>
      </c>
      <c r="I29" s="35">
        <f>(ações2[[#This Row],[PREÇO]]*ações2[[#This Row],[QNTD]])</f>
        <v>27.06</v>
      </c>
      <c r="J29" s="35">
        <v>0.01</v>
      </c>
    </row>
    <row r="30" spans="2:10" x14ac:dyDescent="0.25">
      <c r="B30" s="23">
        <v>43916</v>
      </c>
      <c r="C30" s="23" t="s">
        <v>64</v>
      </c>
      <c r="D30" s="23" t="s">
        <v>8</v>
      </c>
      <c r="E30" s="29" t="s">
        <v>12</v>
      </c>
      <c r="F30" s="29" t="s">
        <v>68</v>
      </c>
      <c r="G30" s="29">
        <v>5</v>
      </c>
      <c r="H30" s="35">
        <v>8.77</v>
      </c>
      <c r="I30" s="35">
        <f>(ações2[[#This Row],[PREÇO]]*ações2[[#This Row],[QNTD]])</f>
        <v>43.849999999999994</v>
      </c>
      <c r="J30" s="35">
        <v>0.01</v>
      </c>
    </row>
    <row r="31" spans="2:10" x14ac:dyDescent="0.25">
      <c r="B31" s="23">
        <v>43916</v>
      </c>
      <c r="C31" s="23" t="s">
        <v>64</v>
      </c>
      <c r="D31" s="23" t="s">
        <v>8</v>
      </c>
      <c r="E31" s="29" t="s">
        <v>12</v>
      </c>
      <c r="F31" s="29" t="s">
        <v>68</v>
      </c>
      <c r="G31" s="29">
        <v>2</v>
      </c>
      <c r="H31" s="35">
        <v>8.65</v>
      </c>
      <c r="I31" s="35">
        <f>(ações2[[#This Row],[PREÇO]]*ações2[[#This Row],[QNTD]])</f>
        <v>17.3</v>
      </c>
      <c r="J31" s="35">
        <v>0.01</v>
      </c>
    </row>
    <row r="32" spans="2:10" x14ac:dyDescent="0.25">
      <c r="B32" s="23">
        <v>43916</v>
      </c>
      <c r="C32" s="23" t="s">
        <v>64</v>
      </c>
      <c r="D32" s="23" t="s">
        <v>8</v>
      </c>
      <c r="E32" s="29" t="s">
        <v>12</v>
      </c>
      <c r="F32" s="29" t="s">
        <v>68</v>
      </c>
      <c r="G32" s="29">
        <v>3</v>
      </c>
      <c r="H32" s="35">
        <v>8.35</v>
      </c>
      <c r="I32" s="35">
        <f>(ações2[[#This Row],[PREÇO]]*ações2[[#This Row],[QNTD]])</f>
        <v>25.049999999999997</v>
      </c>
      <c r="J32" s="35">
        <v>0.01</v>
      </c>
    </row>
    <row r="33" spans="2:10" x14ac:dyDescent="0.25">
      <c r="B33" s="23">
        <v>43917</v>
      </c>
      <c r="C33" s="23" t="s">
        <v>64</v>
      </c>
      <c r="D33" s="23" t="s">
        <v>8</v>
      </c>
      <c r="E33" s="29" t="s">
        <v>0</v>
      </c>
      <c r="F33" s="29" t="s">
        <v>69</v>
      </c>
      <c r="G33" s="29">
        <v>3</v>
      </c>
      <c r="H33" s="35">
        <v>10.7</v>
      </c>
      <c r="I33" s="35">
        <f>(ações2[[#This Row],[PREÇO]]*ações2[[#This Row],[QNTD]])</f>
        <v>32.099999999999994</v>
      </c>
      <c r="J33" s="35">
        <v>0.01</v>
      </c>
    </row>
    <row r="34" spans="2:10" x14ac:dyDescent="0.25">
      <c r="B34" s="23">
        <v>43917</v>
      </c>
      <c r="C34" s="23" t="s">
        <v>64</v>
      </c>
      <c r="D34" s="23" t="s">
        <v>8</v>
      </c>
      <c r="E34" s="29" t="s">
        <v>3</v>
      </c>
      <c r="F34" s="29" t="s">
        <v>68</v>
      </c>
      <c r="G34" s="29">
        <v>3</v>
      </c>
      <c r="H34" s="35">
        <v>8.6</v>
      </c>
      <c r="I34" s="35">
        <f>(ações2[[#This Row],[PREÇO]]*ações2[[#This Row],[QNTD]])</f>
        <v>25.799999999999997</v>
      </c>
      <c r="J34" s="35">
        <v>0.01</v>
      </c>
    </row>
    <row r="35" spans="2:10" x14ac:dyDescent="0.25">
      <c r="B35" s="23">
        <v>43917</v>
      </c>
      <c r="C35" s="23" t="s">
        <v>64</v>
      </c>
      <c r="D35" s="23" t="s">
        <v>8</v>
      </c>
      <c r="E35" s="29" t="s">
        <v>2</v>
      </c>
      <c r="F35" s="29" t="s">
        <v>68</v>
      </c>
      <c r="G35" s="29">
        <v>3</v>
      </c>
      <c r="H35" s="35">
        <v>9.5</v>
      </c>
      <c r="I35" s="35">
        <f>(ações2[[#This Row],[PREÇO]]*ações2[[#This Row],[QNTD]])</f>
        <v>28.5</v>
      </c>
      <c r="J35" s="35">
        <v>0</v>
      </c>
    </row>
    <row r="36" spans="2:10" x14ac:dyDescent="0.25">
      <c r="B36" s="23">
        <v>43920</v>
      </c>
      <c r="C36" s="23" t="s">
        <v>64</v>
      </c>
      <c r="D36" s="23" t="s">
        <v>8</v>
      </c>
      <c r="E36" s="29" t="s">
        <v>12</v>
      </c>
      <c r="F36" s="29" t="s">
        <v>68</v>
      </c>
      <c r="G36" s="29">
        <v>5</v>
      </c>
      <c r="H36" s="35">
        <v>9.24</v>
      </c>
      <c r="I36" s="35">
        <f>(ações2[[#This Row],[PREÇO]]*ações2[[#This Row],[QNTD]])</f>
        <v>46.2</v>
      </c>
      <c r="J36" s="35">
        <v>0.01</v>
      </c>
    </row>
    <row r="37" spans="2:10" x14ac:dyDescent="0.25">
      <c r="B37" s="23">
        <v>43920</v>
      </c>
      <c r="C37" s="23" t="s">
        <v>64</v>
      </c>
      <c r="D37" s="23" t="s">
        <v>8</v>
      </c>
      <c r="E37" s="29" t="s">
        <v>12</v>
      </c>
      <c r="F37" s="29" t="s">
        <v>68</v>
      </c>
      <c r="G37" s="29">
        <v>5</v>
      </c>
      <c r="H37" s="35">
        <v>9.15</v>
      </c>
      <c r="I37" s="35">
        <f>(ações2[[#This Row],[PREÇO]]*ações2[[#This Row],[QNTD]])</f>
        <v>45.75</v>
      </c>
      <c r="J37" s="35">
        <v>0.01</v>
      </c>
    </row>
    <row r="38" spans="2:10" x14ac:dyDescent="0.25">
      <c r="B38" s="23">
        <v>43921</v>
      </c>
      <c r="C38" s="23" t="s">
        <v>64</v>
      </c>
      <c r="D38" s="23" t="s">
        <v>8</v>
      </c>
      <c r="E38" s="29" t="s">
        <v>1</v>
      </c>
      <c r="F38" s="29" t="s">
        <v>68</v>
      </c>
      <c r="G38" s="29">
        <v>3</v>
      </c>
      <c r="H38" s="35">
        <v>12.58</v>
      </c>
      <c r="I38" s="35">
        <f>(ações2[[#This Row],[PREÇO]]*ações2[[#This Row],[QNTD]])</f>
        <v>37.74</v>
      </c>
      <c r="J38" s="35">
        <v>0.01</v>
      </c>
    </row>
    <row r="39" spans="2:10" x14ac:dyDescent="0.25">
      <c r="B39" s="23">
        <v>43921</v>
      </c>
      <c r="C39" s="23" t="s">
        <v>64</v>
      </c>
      <c r="D39" s="23" t="s">
        <v>8</v>
      </c>
      <c r="E39" s="29" t="s">
        <v>12</v>
      </c>
      <c r="F39" s="29" t="s">
        <v>68</v>
      </c>
      <c r="G39" s="29">
        <v>5</v>
      </c>
      <c r="H39" s="35">
        <v>9.15</v>
      </c>
      <c r="I39" s="35">
        <f>(ações2[[#This Row],[PREÇO]]*ações2[[#This Row],[QNTD]])</f>
        <v>45.75</v>
      </c>
      <c r="J39" s="35">
        <v>0.01</v>
      </c>
    </row>
    <row r="40" spans="2:10" x14ac:dyDescent="0.25">
      <c r="B40" s="23">
        <v>43922</v>
      </c>
      <c r="C40" s="23" t="s">
        <v>64</v>
      </c>
      <c r="D40" s="23" t="s">
        <v>8</v>
      </c>
      <c r="E40" s="29" t="s">
        <v>0</v>
      </c>
      <c r="F40" s="29" t="s">
        <v>69</v>
      </c>
      <c r="G40" s="29">
        <v>3</v>
      </c>
      <c r="H40" s="35">
        <v>9.9499999999999993</v>
      </c>
      <c r="I40" s="35">
        <f>(ações2[[#This Row],[PREÇO]]*ações2[[#This Row],[QNTD]])</f>
        <v>29.849999999999998</v>
      </c>
      <c r="J40" s="35">
        <v>0.01</v>
      </c>
    </row>
    <row r="41" spans="2:10" x14ac:dyDescent="0.25">
      <c r="B41" s="23">
        <v>43922</v>
      </c>
      <c r="C41" s="23" t="s">
        <v>64</v>
      </c>
      <c r="D41" s="23" t="s">
        <v>8</v>
      </c>
      <c r="E41" s="29" t="s">
        <v>2</v>
      </c>
      <c r="F41" s="29" t="s">
        <v>68</v>
      </c>
      <c r="G41" s="29">
        <v>2</v>
      </c>
      <c r="H41" s="35">
        <v>8.93</v>
      </c>
      <c r="I41" s="35">
        <f>(ações2[[#This Row],[PREÇO]]*ações2[[#This Row],[QNTD]])</f>
        <v>17.86</v>
      </c>
      <c r="J41" s="35">
        <v>0.01</v>
      </c>
    </row>
    <row r="42" spans="2:10" x14ac:dyDescent="0.25">
      <c r="B42" s="23">
        <v>43922</v>
      </c>
      <c r="C42" s="23" t="s">
        <v>64</v>
      </c>
      <c r="D42" s="23" t="s">
        <v>8</v>
      </c>
      <c r="E42" s="29" t="s">
        <v>19</v>
      </c>
      <c r="F42" s="29" t="s">
        <v>68</v>
      </c>
      <c r="G42" s="29">
        <v>3</v>
      </c>
      <c r="H42" s="35">
        <v>8.6</v>
      </c>
      <c r="I42" s="35">
        <f>(ações2[[#This Row],[PREÇO]]*ações2[[#This Row],[QNTD]])</f>
        <v>25.799999999999997</v>
      </c>
      <c r="J42" s="35">
        <v>0.01</v>
      </c>
    </row>
    <row r="43" spans="2:10" x14ac:dyDescent="0.25">
      <c r="B43" s="23">
        <v>43922</v>
      </c>
      <c r="C43" s="23" t="s">
        <v>64</v>
      </c>
      <c r="D43" s="23" t="s">
        <v>8</v>
      </c>
      <c r="E43" s="29" t="s">
        <v>20</v>
      </c>
      <c r="F43" s="29" t="s">
        <v>68</v>
      </c>
      <c r="G43" s="29">
        <v>2</v>
      </c>
      <c r="H43" s="35">
        <v>21.49</v>
      </c>
      <c r="I43" s="35">
        <f>(ações2[[#This Row],[PREÇO]]*ações2[[#This Row],[QNTD]])</f>
        <v>42.98</v>
      </c>
      <c r="J43" s="35">
        <v>0</v>
      </c>
    </row>
    <row r="44" spans="2:10" x14ac:dyDescent="0.25">
      <c r="B44" s="23">
        <v>43924</v>
      </c>
      <c r="C44" s="23" t="s">
        <v>64</v>
      </c>
      <c r="D44" s="23" t="s">
        <v>8</v>
      </c>
      <c r="E44" s="29" t="s">
        <v>3</v>
      </c>
      <c r="F44" s="29" t="s">
        <v>68</v>
      </c>
      <c r="G44" s="29">
        <v>5</v>
      </c>
      <c r="H44" s="35">
        <v>8.1999999999999993</v>
      </c>
      <c r="I44" s="35">
        <f>(ações2[[#This Row],[PREÇO]]*ações2[[#This Row],[QNTD]])</f>
        <v>41</v>
      </c>
      <c r="J44" s="35">
        <v>0</v>
      </c>
    </row>
    <row r="45" spans="2:10" x14ac:dyDescent="0.25">
      <c r="B45" s="23">
        <v>43924</v>
      </c>
      <c r="C45" s="23" t="s">
        <v>64</v>
      </c>
      <c r="D45" s="23" t="s">
        <v>8</v>
      </c>
      <c r="E45" s="29" t="s">
        <v>20</v>
      </c>
      <c r="F45" s="29" t="s">
        <v>68</v>
      </c>
      <c r="G45" s="29">
        <v>2</v>
      </c>
      <c r="H45" s="35">
        <v>20.85</v>
      </c>
      <c r="I45" s="35">
        <f>(ações2[[#This Row],[PREÇO]]*ações2[[#This Row],[QNTD]])</f>
        <v>41.7</v>
      </c>
      <c r="J45" s="35">
        <v>0</v>
      </c>
    </row>
    <row r="46" spans="2:10" x14ac:dyDescent="0.25">
      <c r="B46" s="23">
        <v>43924</v>
      </c>
      <c r="C46" s="23" t="s">
        <v>64</v>
      </c>
      <c r="D46" s="23" t="s">
        <v>8</v>
      </c>
      <c r="E46" s="29" t="s">
        <v>20</v>
      </c>
      <c r="F46" s="29" t="s">
        <v>68</v>
      </c>
      <c r="G46" s="29">
        <v>1</v>
      </c>
      <c r="H46" s="35">
        <v>20.78</v>
      </c>
      <c r="I46" s="35">
        <f>(ações2[[#This Row],[PREÇO]]*ações2[[#This Row],[QNTD]])</f>
        <v>20.78</v>
      </c>
      <c r="J46" s="35">
        <v>0.01</v>
      </c>
    </row>
    <row r="47" spans="2:10" x14ac:dyDescent="0.25">
      <c r="B47" s="23">
        <v>43924</v>
      </c>
      <c r="C47" s="23" t="s">
        <v>64</v>
      </c>
      <c r="D47" s="23" t="s">
        <v>8</v>
      </c>
      <c r="E47" s="29" t="s">
        <v>3</v>
      </c>
      <c r="F47" s="29" t="s">
        <v>68</v>
      </c>
      <c r="G47" s="29">
        <v>2</v>
      </c>
      <c r="H47" s="35">
        <v>8.14</v>
      </c>
      <c r="I47" s="35">
        <f>(ações2[[#This Row],[PREÇO]]*ações2[[#This Row],[QNTD]])</f>
        <v>16.28</v>
      </c>
      <c r="J47" s="35">
        <v>0.01</v>
      </c>
    </row>
    <row r="48" spans="2:10" x14ac:dyDescent="0.25">
      <c r="B48" s="23">
        <v>43924</v>
      </c>
      <c r="C48" s="23" t="s">
        <v>64</v>
      </c>
      <c r="D48" s="23" t="s">
        <v>8</v>
      </c>
      <c r="E48" s="29" t="s">
        <v>12</v>
      </c>
      <c r="F48" s="29" t="s">
        <v>68</v>
      </c>
      <c r="G48" s="29">
        <v>3</v>
      </c>
      <c r="H48" s="35">
        <v>9</v>
      </c>
      <c r="I48" s="35">
        <f>(ações2[[#This Row],[PREÇO]]*ações2[[#This Row],[QNTD]])</f>
        <v>27</v>
      </c>
      <c r="J48" s="35">
        <v>0.01</v>
      </c>
    </row>
    <row r="49" spans="2:10" x14ac:dyDescent="0.25">
      <c r="B49" s="23">
        <v>43924</v>
      </c>
      <c r="C49" s="23" t="s">
        <v>64</v>
      </c>
      <c r="D49" s="23" t="s">
        <v>8</v>
      </c>
      <c r="E49" s="29" t="s">
        <v>3</v>
      </c>
      <c r="F49" s="29" t="s">
        <v>68</v>
      </c>
      <c r="G49" s="29">
        <v>5</v>
      </c>
      <c r="H49" s="35">
        <v>8.1</v>
      </c>
      <c r="I49" s="35">
        <f>(ações2[[#This Row],[PREÇO]]*ações2[[#This Row],[QNTD]])</f>
        <v>40.5</v>
      </c>
      <c r="J49" s="35">
        <v>0.01</v>
      </c>
    </row>
    <row r="50" spans="2:10" x14ac:dyDescent="0.25">
      <c r="B50" s="23">
        <v>43924</v>
      </c>
      <c r="C50" s="23" t="s">
        <v>64</v>
      </c>
      <c r="D50" s="23" t="s">
        <v>8</v>
      </c>
      <c r="E50" s="29" t="s">
        <v>20</v>
      </c>
      <c r="F50" s="29" t="s">
        <v>68</v>
      </c>
      <c r="G50" s="29">
        <v>2</v>
      </c>
      <c r="H50" s="35">
        <v>20.350000000000001</v>
      </c>
      <c r="I50" s="35">
        <f>(ações2[[#This Row],[PREÇO]]*ações2[[#This Row],[QNTD]])</f>
        <v>40.700000000000003</v>
      </c>
      <c r="J50" s="35">
        <v>0.01</v>
      </c>
    </row>
    <row r="51" spans="2:10" x14ac:dyDescent="0.25">
      <c r="B51" s="23">
        <v>43924</v>
      </c>
      <c r="C51" s="23" t="s">
        <v>64</v>
      </c>
      <c r="D51" s="23" t="s">
        <v>8</v>
      </c>
      <c r="E51" s="29" t="s">
        <v>22</v>
      </c>
      <c r="F51" s="29" t="s">
        <v>68</v>
      </c>
      <c r="G51" s="29">
        <v>3</v>
      </c>
      <c r="H51" s="35">
        <v>6.15</v>
      </c>
      <c r="I51" s="35">
        <f>(ações2[[#This Row],[PREÇO]]*ações2[[#This Row],[QNTD]])</f>
        <v>18.450000000000003</v>
      </c>
      <c r="J51" s="35">
        <v>0.01</v>
      </c>
    </row>
    <row r="52" spans="2:10" x14ac:dyDescent="0.25">
      <c r="B52" s="23">
        <v>43927</v>
      </c>
      <c r="C52" s="23" t="s">
        <v>64</v>
      </c>
      <c r="D52" s="23" t="s">
        <v>8</v>
      </c>
      <c r="E52" s="29" t="s">
        <v>38</v>
      </c>
      <c r="F52" s="29" t="s">
        <v>68</v>
      </c>
      <c r="G52" s="29">
        <v>2</v>
      </c>
      <c r="H52" s="35">
        <v>4.1399999999999997</v>
      </c>
      <c r="I52" s="35">
        <f>(ações2[[#This Row],[PREÇO]]*ações2[[#This Row],[QNTD]])</f>
        <v>8.2799999999999994</v>
      </c>
      <c r="J52" s="35">
        <v>0</v>
      </c>
    </row>
    <row r="53" spans="2:10" x14ac:dyDescent="0.25">
      <c r="B53" s="23">
        <v>43927</v>
      </c>
      <c r="C53" s="23" t="s">
        <v>64</v>
      </c>
      <c r="D53" s="23" t="s">
        <v>8</v>
      </c>
      <c r="E53" s="29" t="s">
        <v>38</v>
      </c>
      <c r="F53" s="29" t="s">
        <v>68</v>
      </c>
      <c r="G53" s="29">
        <v>3</v>
      </c>
      <c r="H53" s="35">
        <v>4.0999999999999996</v>
      </c>
      <c r="I53" s="35">
        <f>(ações2[[#This Row],[PREÇO]]*ações2[[#This Row],[QNTD]])</f>
        <v>12.299999999999999</v>
      </c>
      <c r="J53" s="35">
        <v>0</v>
      </c>
    </row>
    <row r="54" spans="2:10" x14ac:dyDescent="0.25">
      <c r="B54" s="23">
        <v>43928</v>
      </c>
      <c r="C54" s="23" t="s">
        <v>64</v>
      </c>
      <c r="D54" s="23" t="s">
        <v>8</v>
      </c>
      <c r="E54" s="29" t="s">
        <v>38</v>
      </c>
      <c r="F54" s="29" t="s">
        <v>68</v>
      </c>
      <c r="G54" s="29">
        <v>3</v>
      </c>
      <c r="H54" s="35">
        <v>4.29</v>
      </c>
      <c r="I54" s="35">
        <f>(ações2[[#This Row],[PREÇO]]*ações2[[#This Row],[QNTD]])</f>
        <v>12.870000000000001</v>
      </c>
      <c r="J54" s="35">
        <v>0</v>
      </c>
    </row>
    <row r="55" spans="2:10" x14ac:dyDescent="0.25">
      <c r="B55" s="23">
        <v>43928</v>
      </c>
      <c r="C55" s="23" t="s">
        <v>64</v>
      </c>
      <c r="D55" s="23" t="s">
        <v>8</v>
      </c>
      <c r="E55" s="29" t="s">
        <v>24</v>
      </c>
      <c r="F55" s="29" t="s">
        <v>68</v>
      </c>
      <c r="G55" s="29">
        <v>2</v>
      </c>
      <c r="H55" s="35">
        <v>3.4</v>
      </c>
      <c r="I55" s="35">
        <f>(ações2[[#This Row],[PREÇO]]*ações2[[#This Row],[QNTD]])</f>
        <v>6.8</v>
      </c>
      <c r="J55" s="35">
        <v>0</v>
      </c>
    </row>
    <row r="56" spans="2:10" x14ac:dyDescent="0.25">
      <c r="B56" s="23">
        <v>43928</v>
      </c>
      <c r="C56" s="23" t="s">
        <v>64</v>
      </c>
      <c r="D56" s="23" t="s">
        <v>8</v>
      </c>
      <c r="E56" s="29" t="s">
        <v>38</v>
      </c>
      <c r="F56" s="29" t="s">
        <v>68</v>
      </c>
      <c r="G56" s="29">
        <v>3</v>
      </c>
      <c r="H56" s="35">
        <v>4.18</v>
      </c>
      <c r="I56" s="35">
        <f>(ações2[[#This Row],[PREÇO]]*ações2[[#This Row],[QNTD]])</f>
        <v>12.54</v>
      </c>
      <c r="J56" s="35">
        <v>0</v>
      </c>
    </row>
    <row r="57" spans="2:10" x14ac:dyDescent="0.25">
      <c r="B57" s="23">
        <v>43930</v>
      </c>
      <c r="C57" s="23" t="s">
        <v>64</v>
      </c>
      <c r="D57" s="23" t="s">
        <v>8</v>
      </c>
      <c r="E57" s="29" t="s">
        <v>24</v>
      </c>
      <c r="F57" s="29" t="s">
        <v>68</v>
      </c>
      <c r="G57" s="29">
        <v>11</v>
      </c>
      <c r="H57" s="35">
        <v>3.79</v>
      </c>
      <c r="I57" s="35">
        <f>(ações2[[#This Row],[PREÇO]]*ações2[[#This Row],[QNTD]])</f>
        <v>41.69</v>
      </c>
      <c r="J57" s="35">
        <v>0</v>
      </c>
    </row>
    <row r="58" spans="2:10" x14ac:dyDescent="0.25">
      <c r="B58" s="23">
        <v>43930</v>
      </c>
      <c r="C58" s="23" t="s">
        <v>64</v>
      </c>
      <c r="D58" s="23" t="s">
        <v>8</v>
      </c>
      <c r="E58" s="29" t="s">
        <v>12</v>
      </c>
      <c r="F58" s="29" t="s">
        <v>68</v>
      </c>
      <c r="G58" s="29">
        <v>3</v>
      </c>
      <c r="H58" s="35">
        <v>9.3000000000000007</v>
      </c>
      <c r="I58" s="35">
        <f>(ações2[[#This Row],[PREÇO]]*ações2[[#This Row],[QNTD]])</f>
        <v>27.900000000000002</v>
      </c>
      <c r="J58" s="35">
        <v>0</v>
      </c>
    </row>
    <row r="59" spans="2:10" x14ac:dyDescent="0.25">
      <c r="B59" s="23">
        <v>43930</v>
      </c>
      <c r="C59" s="23" t="s">
        <v>64</v>
      </c>
      <c r="D59" s="23" t="s">
        <v>8</v>
      </c>
      <c r="E59" s="29" t="s">
        <v>3</v>
      </c>
      <c r="F59" s="29" t="s">
        <v>68</v>
      </c>
      <c r="G59" s="29">
        <v>5</v>
      </c>
      <c r="H59" s="35">
        <v>9.33</v>
      </c>
      <c r="I59" s="35">
        <f>(ações2[[#This Row],[PREÇO]]*ações2[[#This Row],[QNTD]])</f>
        <v>46.65</v>
      </c>
      <c r="J59" s="35">
        <v>0.01</v>
      </c>
    </row>
    <row r="60" spans="2:10" x14ac:dyDescent="0.25">
      <c r="B60" s="23">
        <v>43930</v>
      </c>
      <c r="C60" s="23" t="s">
        <v>64</v>
      </c>
      <c r="D60" s="23" t="s">
        <v>8</v>
      </c>
      <c r="E60" s="29" t="s">
        <v>12</v>
      </c>
      <c r="F60" s="29" t="s">
        <v>68</v>
      </c>
      <c r="G60" s="29">
        <v>2</v>
      </c>
      <c r="H60" s="35">
        <v>9.1999999999999993</v>
      </c>
      <c r="I60" s="35">
        <f>(ações2[[#This Row],[PREÇO]]*ações2[[#This Row],[QNTD]])</f>
        <v>18.399999999999999</v>
      </c>
      <c r="J60" s="35">
        <v>0.01</v>
      </c>
    </row>
    <row r="61" spans="2:10" x14ac:dyDescent="0.25">
      <c r="B61" s="23">
        <v>43930</v>
      </c>
      <c r="C61" s="23" t="s">
        <v>64</v>
      </c>
      <c r="D61" s="23" t="s">
        <v>8</v>
      </c>
      <c r="E61" s="29" t="s">
        <v>24</v>
      </c>
      <c r="F61" s="29" t="s">
        <v>68</v>
      </c>
      <c r="G61" s="29">
        <v>3</v>
      </c>
      <c r="H61" s="35">
        <v>3.58</v>
      </c>
      <c r="I61" s="35">
        <f>(ações2[[#This Row],[PREÇO]]*ações2[[#This Row],[QNTD]])</f>
        <v>10.74</v>
      </c>
      <c r="J61" s="35">
        <v>0.01</v>
      </c>
    </row>
    <row r="62" spans="2:10" x14ac:dyDescent="0.25">
      <c r="B62" s="23">
        <v>43934</v>
      </c>
      <c r="C62" s="23" t="s">
        <v>64</v>
      </c>
      <c r="D62" s="23" t="s">
        <v>8</v>
      </c>
      <c r="E62" s="29" t="s">
        <v>12</v>
      </c>
      <c r="F62" s="29" t="s">
        <v>68</v>
      </c>
      <c r="G62" s="29">
        <v>2</v>
      </c>
      <c r="H62" s="35">
        <v>9.1</v>
      </c>
      <c r="I62" s="35">
        <f>(ações2[[#This Row],[PREÇO]]*ações2[[#This Row],[QNTD]])</f>
        <v>18.2</v>
      </c>
      <c r="J62" s="35">
        <v>0.01</v>
      </c>
    </row>
    <row r="63" spans="2:10" x14ac:dyDescent="0.25">
      <c r="B63" s="23">
        <v>43934</v>
      </c>
      <c r="C63" s="23" t="s">
        <v>64</v>
      </c>
      <c r="D63" s="23" t="s">
        <v>8</v>
      </c>
      <c r="E63" s="29" t="s">
        <v>12</v>
      </c>
      <c r="F63" s="29" t="s">
        <v>68</v>
      </c>
      <c r="G63" s="29">
        <v>3</v>
      </c>
      <c r="H63" s="35">
        <v>9</v>
      </c>
      <c r="I63" s="35">
        <f>(ações2[[#This Row],[PREÇO]]*ações2[[#This Row],[QNTD]])</f>
        <v>27</v>
      </c>
      <c r="J63" s="35">
        <v>0</v>
      </c>
    </row>
    <row r="64" spans="2:10" x14ac:dyDescent="0.25">
      <c r="B64" s="23">
        <v>43935</v>
      </c>
      <c r="C64" s="23" t="s">
        <v>64</v>
      </c>
      <c r="D64" s="23" t="s">
        <v>8</v>
      </c>
      <c r="E64" s="29" t="s">
        <v>22</v>
      </c>
      <c r="F64" s="29" t="s">
        <v>68</v>
      </c>
      <c r="G64" s="29">
        <v>3</v>
      </c>
      <c r="H64" s="35">
        <v>7.5</v>
      </c>
      <c r="I64" s="35">
        <f>(ações2[[#This Row],[PREÇO]]*ações2[[#This Row],[QNTD]])</f>
        <v>22.5</v>
      </c>
      <c r="J64" s="35">
        <v>0.01</v>
      </c>
    </row>
    <row r="65" spans="2:10" x14ac:dyDescent="0.25">
      <c r="B65" s="23">
        <v>43935</v>
      </c>
      <c r="C65" s="23" t="s">
        <v>64</v>
      </c>
      <c r="D65" s="23" t="s">
        <v>8</v>
      </c>
      <c r="E65" s="29" t="s">
        <v>38</v>
      </c>
      <c r="F65" s="29" t="s">
        <v>68</v>
      </c>
      <c r="G65" s="29">
        <v>5</v>
      </c>
      <c r="H65" s="35">
        <v>4.6500000000000004</v>
      </c>
      <c r="I65" s="35">
        <f>(ações2[[#This Row],[PREÇO]]*ações2[[#This Row],[QNTD]])</f>
        <v>23.25</v>
      </c>
      <c r="J65" s="35">
        <v>0.01</v>
      </c>
    </row>
    <row r="66" spans="2:10" x14ac:dyDescent="0.25">
      <c r="B66" s="23">
        <v>43935</v>
      </c>
      <c r="C66" s="23" t="s">
        <v>64</v>
      </c>
      <c r="D66" s="23" t="s">
        <v>8</v>
      </c>
      <c r="E66" s="29" t="s">
        <v>24</v>
      </c>
      <c r="F66" s="29" t="s">
        <v>68</v>
      </c>
      <c r="G66" s="29">
        <v>7</v>
      </c>
      <c r="H66" s="35">
        <v>3.75</v>
      </c>
      <c r="I66" s="35">
        <f>(ações2[[#This Row],[PREÇO]]*ações2[[#This Row],[QNTD]])</f>
        <v>26.25</v>
      </c>
      <c r="J66" s="35">
        <v>0.01</v>
      </c>
    </row>
    <row r="67" spans="2:10" x14ac:dyDescent="0.25">
      <c r="B67" s="23">
        <v>43935</v>
      </c>
      <c r="C67" s="23" t="s">
        <v>64</v>
      </c>
      <c r="D67" s="23" t="s">
        <v>8</v>
      </c>
      <c r="E67" s="29" t="s">
        <v>3</v>
      </c>
      <c r="F67" s="29" t="s">
        <v>68</v>
      </c>
      <c r="G67" s="29">
        <v>5</v>
      </c>
      <c r="H67" s="35">
        <v>9.7899999999999991</v>
      </c>
      <c r="I67" s="35">
        <f>(ações2[[#This Row],[PREÇO]]*ações2[[#This Row],[QNTD]])</f>
        <v>48.949999999999996</v>
      </c>
      <c r="J67" s="35">
        <v>0.01</v>
      </c>
    </row>
    <row r="68" spans="2:10" x14ac:dyDescent="0.25">
      <c r="B68" s="23">
        <v>43935</v>
      </c>
      <c r="C68" s="23" t="s">
        <v>64</v>
      </c>
      <c r="D68" s="23" t="s">
        <v>8</v>
      </c>
      <c r="E68" s="29" t="s">
        <v>24</v>
      </c>
      <c r="F68" s="29" t="s">
        <v>68</v>
      </c>
      <c r="G68" s="29">
        <v>8</v>
      </c>
      <c r="H68" s="35">
        <v>3.77</v>
      </c>
      <c r="I68" s="35">
        <f>(ações2[[#This Row],[PREÇO]]*ações2[[#This Row],[QNTD]])</f>
        <v>30.16</v>
      </c>
      <c r="J68" s="35">
        <v>0</v>
      </c>
    </row>
    <row r="69" spans="2:10" x14ac:dyDescent="0.25">
      <c r="B69" s="23">
        <v>43935</v>
      </c>
      <c r="C69" s="23" t="s">
        <v>64</v>
      </c>
      <c r="D69" s="23" t="s">
        <v>8</v>
      </c>
      <c r="E69" s="29" t="s">
        <v>12</v>
      </c>
      <c r="F69" s="29" t="s">
        <v>68</v>
      </c>
      <c r="G69" s="29">
        <v>3</v>
      </c>
      <c r="H69" s="35">
        <v>9.39</v>
      </c>
      <c r="I69" s="35">
        <f>(ações2[[#This Row],[PREÇO]]*ações2[[#This Row],[QNTD]])</f>
        <v>28.17</v>
      </c>
      <c r="J69" s="35">
        <v>0</v>
      </c>
    </row>
    <row r="70" spans="2:10" x14ac:dyDescent="0.25">
      <c r="B70" s="23">
        <v>43936</v>
      </c>
      <c r="C70" s="23" t="s">
        <v>64</v>
      </c>
      <c r="D70" s="23" t="s">
        <v>8</v>
      </c>
      <c r="E70" s="30" t="s">
        <v>19</v>
      </c>
      <c r="F70" s="29" t="s">
        <v>68</v>
      </c>
      <c r="G70" s="29">
        <v>3</v>
      </c>
      <c r="H70" s="35">
        <v>9.8800000000000008</v>
      </c>
      <c r="I70" s="35">
        <f>(ações2[[#This Row],[PREÇO]]*ações2[[#This Row],[QNTD]])</f>
        <v>29.64</v>
      </c>
      <c r="J70" s="35">
        <v>0.02</v>
      </c>
    </row>
    <row r="71" spans="2:10" x14ac:dyDescent="0.25">
      <c r="B71" s="23">
        <v>43936</v>
      </c>
      <c r="C71" s="23" t="s">
        <v>64</v>
      </c>
      <c r="D71" s="23" t="s">
        <v>8</v>
      </c>
      <c r="E71" s="30" t="s">
        <v>20</v>
      </c>
      <c r="F71" s="29" t="s">
        <v>68</v>
      </c>
      <c r="G71" s="29">
        <v>2</v>
      </c>
      <c r="H71" s="35">
        <v>24</v>
      </c>
      <c r="I71" s="35">
        <f>(ações2[[#This Row],[PREÇO]]*ações2[[#This Row],[QNTD]])</f>
        <v>48</v>
      </c>
      <c r="J71" s="35">
        <v>0.01</v>
      </c>
    </row>
    <row r="72" spans="2:10" x14ac:dyDescent="0.25">
      <c r="B72" s="23">
        <v>43936</v>
      </c>
      <c r="C72" s="23" t="s">
        <v>64</v>
      </c>
      <c r="D72" s="23" t="s">
        <v>8</v>
      </c>
      <c r="E72" s="30" t="s">
        <v>2</v>
      </c>
      <c r="F72" s="29" t="s">
        <v>68</v>
      </c>
      <c r="G72" s="29">
        <v>5</v>
      </c>
      <c r="H72" s="35">
        <v>12.06</v>
      </c>
      <c r="I72" s="35">
        <f>(ações2[[#This Row],[PREÇO]]*ações2[[#This Row],[QNTD]])</f>
        <v>60.300000000000004</v>
      </c>
      <c r="J72" s="35">
        <v>0.01</v>
      </c>
    </row>
    <row r="73" spans="2:10" x14ac:dyDescent="0.25">
      <c r="B73" s="23">
        <v>43936</v>
      </c>
      <c r="C73" s="23" t="s">
        <v>64</v>
      </c>
      <c r="D73" s="23" t="s">
        <v>8</v>
      </c>
      <c r="E73" s="30" t="s">
        <v>2</v>
      </c>
      <c r="F73" s="29" t="s">
        <v>68</v>
      </c>
      <c r="G73" s="29">
        <v>5</v>
      </c>
      <c r="H73" s="35">
        <v>11.87</v>
      </c>
      <c r="I73" s="35">
        <f>(ações2[[#This Row],[PREÇO]]*ações2[[#This Row],[QNTD]])</f>
        <v>59.349999999999994</v>
      </c>
      <c r="J73" s="35">
        <v>0.01</v>
      </c>
    </row>
    <row r="74" spans="2:10" x14ac:dyDescent="0.25">
      <c r="B74" s="23">
        <v>43937</v>
      </c>
      <c r="C74" s="23" t="s">
        <v>64</v>
      </c>
      <c r="D74" s="23" t="s">
        <v>8</v>
      </c>
      <c r="E74" s="30" t="s">
        <v>22</v>
      </c>
      <c r="F74" s="29" t="s">
        <v>68</v>
      </c>
      <c r="G74" s="29">
        <v>5</v>
      </c>
      <c r="H74" s="35">
        <v>7.02</v>
      </c>
      <c r="I74" s="35">
        <f>(ações2[[#This Row],[PREÇO]]*ações2[[#This Row],[QNTD]])</f>
        <v>35.099999999999994</v>
      </c>
      <c r="J74" s="35">
        <v>0.01</v>
      </c>
    </row>
    <row r="75" spans="2:10" x14ac:dyDescent="0.25">
      <c r="B75" s="23">
        <v>43937</v>
      </c>
      <c r="C75" s="23" t="s">
        <v>64</v>
      </c>
      <c r="D75" s="23" t="s">
        <v>8</v>
      </c>
      <c r="E75" s="29" t="s">
        <v>3</v>
      </c>
      <c r="F75" s="29" t="s">
        <v>68</v>
      </c>
      <c r="G75" s="29">
        <v>3</v>
      </c>
      <c r="H75" s="35">
        <v>9.0399999999999991</v>
      </c>
      <c r="I75" s="35">
        <f>(ações2[[#This Row],[PREÇO]]*ações2[[#This Row],[QNTD]])</f>
        <v>27.119999999999997</v>
      </c>
      <c r="J75" s="35">
        <v>0.01</v>
      </c>
    </row>
    <row r="76" spans="2:10" x14ac:dyDescent="0.25">
      <c r="B76" s="23">
        <v>43937</v>
      </c>
      <c r="C76" s="23" t="s">
        <v>64</v>
      </c>
      <c r="D76" s="23" t="s">
        <v>40</v>
      </c>
      <c r="E76" s="29" t="s">
        <v>39</v>
      </c>
      <c r="F76" s="29" t="s">
        <v>68</v>
      </c>
      <c r="G76" s="31">
        <v>19</v>
      </c>
      <c r="H76" s="35">
        <v>91.66</v>
      </c>
      <c r="I76" s="35">
        <f>ações2[[#This Row],[PREÇO]]*ações2[[#This Row],[QNTD]]</f>
        <v>1741.54</v>
      </c>
      <c r="J76" s="35">
        <f>0.26+0.05</f>
        <v>0.31</v>
      </c>
    </row>
    <row r="77" spans="2:10" x14ac:dyDescent="0.25">
      <c r="B77" s="23">
        <v>43937</v>
      </c>
      <c r="C77" s="23" t="s">
        <v>64</v>
      </c>
      <c r="D77" s="23" t="s">
        <v>40</v>
      </c>
      <c r="E77" s="30" t="s">
        <v>39</v>
      </c>
      <c r="F77" s="29" t="s">
        <v>68</v>
      </c>
      <c r="G77" s="31">
        <v>1</v>
      </c>
      <c r="H77" s="35">
        <v>91.5</v>
      </c>
      <c r="I77" s="35">
        <f>ações2[[#This Row],[PREÇO]]*ações2[[#This Row],[QNTD]]</f>
        <v>91.5</v>
      </c>
      <c r="J77" s="35">
        <v>0.26</v>
      </c>
    </row>
    <row r="78" spans="2:10" x14ac:dyDescent="0.25">
      <c r="B78" s="23">
        <v>43938</v>
      </c>
      <c r="C78" s="23" t="s">
        <v>64</v>
      </c>
      <c r="D78" s="23" t="s">
        <v>8</v>
      </c>
      <c r="E78" s="29" t="s">
        <v>12</v>
      </c>
      <c r="F78" s="29" t="s">
        <v>68</v>
      </c>
      <c r="G78" s="29">
        <v>2</v>
      </c>
      <c r="H78" s="35">
        <v>8.91</v>
      </c>
      <c r="I78" s="35">
        <f>(ações2[[#This Row],[PREÇO]]*ações2[[#This Row],[QNTD]])</f>
        <v>17.82</v>
      </c>
      <c r="J78" s="35">
        <v>0</v>
      </c>
    </row>
    <row r="79" spans="2:10" x14ac:dyDescent="0.25">
      <c r="B79" s="23">
        <v>43938</v>
      </c>
      <c r="C79" s="23" t="s">
        <v>64</v>
      </c>
      <c r="D79" s="23" t="s">
        <v>8</v>
      </c>
      <c r="E79" s="29" t="s">
        <v>12</v>
      </c>
      <c r="F79" s="29" t="s">
        <v>68</v>
      </c>
      <c r="G79" s="29">
        <v>3</v>
      </c>
      <c r="H79" s="35">
        <v>8.8000000000000007</v>
      </c>
      <c r="I79" s="35">
        <f>(ações2[[#This Row],[PREÇO]]*ações2[[#This Row],[QNTD]])</f>
        <v>26.400000000000002</v>
      </c>
      <c r="J79" s="35">
        <v>0</v>
      </c>
    </row>
    <row r="80" spans="2:10" x14ac:dyDescent="0.25">
      <c r="B80" s="23">
        <v>43938</v>
      </c>
      <c r="C80" s="23" t="s">
        <v>64</v>
      </c>
      <c r="D80" s="23" t="s">
        <v>40</v>
      </c>
      <c r="E80" s="30" t="s">
        <v>33</v>
      </c>
      <c r="F80" s="29" t="s">
        <v>68</v>
      </c>
      <c r="G80" s="31">
        <v>50</v>
      </c>
      <c r="H80" s="35">
        <v>9.9700000000000006</v>
      </c>
      <c r="I80" s="35">
        <f>ações2[[#This Row],[PREÇO]]*ações2[[#This Row],[QNTD]]</f>
        <v>498.50000000000006</v>
      </c>
      <c r="J80" s="35">
        <f>0.14+0.01</f>
        <v>0.15000000000000002</v>
      </c>
    </row>
    <row r="81" spans="2:10" x14ac:dyDescent="0.25">
      <c r="B81" s="23">
        <v>43941</v>
      </c>
      <c r="C81" s="23" t="s">
        <v>64</v>
      </c>
      <c r="D81" s="23" t="s">
        <v>40</v>
      </c>
      <c r="E81" s="30" t="s">
        <v>39</v>
      </c>
      <c r="F81" s="29" t="s">
        <v>68</v>
      </c>
      <c r="G81" s="31">
        <v>5</v>
      </c>
      <c r="H81" s="35">
        <v>91.96</v>
      </c>
      <c r="I81" s="35">
        <f>ações2[[#This Row],[PREÇO]]*ações2[[#This Row],[QNTD]]</f>
        <v>459.79999999999995</v>
      </c>
      <c r="J81" s="35">
        <v>0.37</v>
      </c>
    </row>
    <row r="82" spans="2:10" x14ac:dyDescent="0.25">
      <c r="B82" s="23">
        <v>43941</v>
      </c>
      <c r="C82" s="23" t="s">
        <v>64</v>
      </c>
      <c r="D82" s="23" t="s">
        <v>40</v>
      </c>
      <c r="E82" s="30" t="s">
        <v>39</v>
      </c>
      <c r="F82" s="29" t="s">
        <v>68</v>
      </c>
      <c r="G82" s="31">
        <v>5</v>
      </c>
      <c r="H82" s="35">
        <v>91.8</v>
      </c>
      <c r="I82" s="35">
        <f>ações2[[#This Row],[PREÇO]]*ações2[[#This Row],[QNTD]]</f>
        <v>459</v>
      </c>
      <c r="J82" s="35">
        <v>0</v>
      </c>
    </row>
    <row r="83" spans="2:10" x14ac:dyDescent="0.25">
      <c r="B83" s="23">
        <v>43941</v>
      </c>
      <c r="C83" s="23" t="s">
        <v>64</v>
      </c>
      <c r="D83" s="23" t="s">
        <v>40</v>
      </c>
      <c r="E83" s="30" t="s">
        <v>39</v>
      </c>
      <c r="F83" s="29" t="s">
        <v>68</v>
      </c>
      <c r="G83" s="31">
        <v>3</v>
      </c>
      <c r="H83" s="35">
        <v>91.5</v>
      </c>
      <c r="I83" s="35">
        <f>ações2[[#This Row],[PREÇO]]*ações2[[#This Row],[QNTD]]</f>
        <v>274.5</v>
      </c>
      <c r="J83" s="35">
        <v>0</v>
      </c>
    </row>
    <row r="84" spans="2:10" x14ac:dyDescent="0.25">
      <c r="B84" s="23">
        <v>43941</v>
      </c>
      <c r="C84" s="23" t="s">
        <v>64</v>
      </c>
      <c r="D84" s="23" t="s">
        <v>40</v>
      </c>
      <c r="E84" s="30" t="s">
        <v>33</v>
      </c>
      <c r="F84" s="29" t="s">
        <v>68</v>
      </c>
      <c r="G84" s="31">
        <v>5</v>
      </c>
      <c r="H84" s="35">
        <v>10.029999999999999</v>
      </c>
      <c r="I84" s="35">
        <f>ações2[[#This Row],[PREÇO]]*ações2[[#This Row],[QNTD]]</f>
        <v>50.15</v>
      </c>
      <c r="J84" s="35">
        <v>0</v>
      </c>
    </row>
    <row r="85" spans="2:10" x14ac:dyDescent="0.25">
      <c r="B85" s="23">
        <v>43943</v>
      </c>
      <c r="C85" s="23" t="s">
        <v>64</v>
      </c>
      <c r="D85" s="23" t="s">
        <v>8</v>
      </c>
      <c r="E85" s="29" t="s">
        <v>2</v>
      </c>
      <c r="F85" s="29" t="s">
        <v>68</v>
      </c>
      <c r="G85" s="29">
        <v>5</v>
      </c>
      <c r="H85" s="35">
        <v>11.71</v>
      </c>
      <c r="I85" s="35">
        <f>(ações2[[#This Row],[PREÇO]]*ações2[[#This Row],[QNTD]])</f>
        <v>58.550000000000004</v>
      </c>
      <c r="J85" s="35">
        <v>0.03</v>
      </c>
    </row>
    <row r="86" spans="2:10" x14ac:dyDescent="0.25">
      <c r="B86" s="23">
        <v>43943</v>
      </c>
      <c r="C86" s="23" t="s">
        <v>64</v>
      </c>
      <c r="D86" s="23" t="s">
        <v>8</v>
      </c>
      <c r="E86" s="29" t="s">
        <v>2</v>
      </c>
      <c r="F86" s="29" t="s">
        <v>68</v>
      </c>
      <c r="G86" s="29">
        <v>5</v>
      </c>
      <c r="H86" s="35">
        <v>11.4</v>
      </c>
      <c r="I86" s="35">
        <f>(ações2[[#This Row],[PREÇO]]*ações2[[#This Row],[QNTD]])</f>
        <v>57</v>
      </c>
      <c r="J86" s="35">
        <v>0</v>
      </c>
    </row>
    <row r="87" spans="2:10" x14ac:dyDescent="0.25">
      <c r="B87" s="23">
        <v>43943</v>
      </c>
      <c r="C87" s="23" t="s">
        <v>64</v>
      </c>
      <c r="D87" s="23" t="s">
        <v>8</v>
      </c>
      <c r="E87" s="29" t="s">
        <v>2</v>
      </c>
      <c r="F87" s="29" t="s">
        <v>68</v>
      </c>
      <c r="G87" s="29">
        <v>2</v>
      </c>
      <c r="H87" s="35">
        <v>11.12</v>
      </c>
      <c r="I87" s="35">
        <f>(ações2[[#This Row],[PREÇO]]*ações2[[#This Row],[QNTD]])</f>
        <v>22.24</v>
      </c>
      <c r="J87" s="35">
        <v>0</v>
      </c>
    </row>
    <row r="88" spans="2:10" x14ac:dyDescent="0.25">
      <c r="B88" s="23">
        <v>43944</v>
      </c>
      <c r="C88" s="23" t="s">
        <v>64</v>
      </c>
      <c r="D88" s="23" t="s">
        <v>8</v>
      </c>
      <c r="E88" s="29" t="s">
        <v>2</v>
      </c>
      <c r="F88" s="29" t="s">
        <v>68</v>
      </c>
      <c r="G88" s="29">
        <v>3</v>
      </c>
      <c r="H88" s="35">
        <v>10.7</v>
      </c>
      <c r="I88" s="35">
        <f>(ações2[[#This Row],[PREÇO]]*ações2[[#This Row],[QNTD]])</f>
        <v>32.099999999999994</v>
      </c>
      <c r="J88" s="35">
        <v>0.06</v>
      </c>
    </row>
    <row r="89" spans="2:10" x14ac:dyDescent="0.25">
      <c r="B89" s="23">
        <v>43944</v>
      </c>
      <c r="C89" s="23" t="s">
        <v>64</v>
      </c>
      <c r="D89" s="23" t="s">
        <v>8</v>
      </c>
      <c r="E89" s="29" t="s">
        <v>41</v>
      </c>
      <c r="F89" s="29" t="s">
        <v>68</v>
      </c>
      <c r="G89" s="29">
        <v>2</v>
      </c>
      <c r="H89" s="35">
        <v>5.12</v>
      </c>
      <c r="I89" s="35">
        <f>(ações2[[#This Row],[PREÇO]]*ações2[[#This Row],[QNTD]])</f>
        <v>10.24</v>
      </c>
      <c r="J89" s="35">
        <v>0</v>
      </c>
    </row>
    <row r="90" spans="2:10" x14ac:dyDescent="0.25">
      <c r="B90" s="23">
        <v>43944</v>
      </c>
      <c r="C90" s="23" t="s">
        <v>64</v>
      </c>
      <c r="D90" s="23" t="s">
        <v>8</v>
      </c>
      <c r="E90" s="29" t="s">
        <v>3</v>
      </c>
      <c r="F90" s="29" t="s">
        <v>68</v>
      </c>
      <c r="G90" s="29">
        <v>2</v>
      </c>
      <c r="H90" s="35">
        <v>9</v>
      </c>
      <c r="I90" s="35">
        <f>(ações2[[#This Row],[PREÇO]]*ações2[[#This Row],[QNTD]])</f>
        <v>18</v>
      </c>
      <c r="J90" s="35">
        <v>0</v>
      </c>
    </row>
    <row r="91" spans="2:10" x14ac:dyDescent="0.25">
      <c r="B91" s="23">
        <v>43944</v>
      </c>
      <c r="C91" s="23" t="s">
        <v>64</v>
      </c>
      <c r="D91" s="23" t="s">
        <v>8</v>
      </c>
      <c r="E91" s="29" t="s">
        <v>2</v>
      </c>
      <c r="F91" s="29" t="s">
        <v>68</v>
      </c>
      <c r="G91" s="29">
        <v>3</v>
      </c>
      <c r="H91" s="35">
        <v>10.55</v>
      </c>
      <c r="I91" s="35">
        <f>(ações2[[#This Row],[PREÇO]]*ações2[[#This Row],[QNTD]])</f>
        <v>31.650000000000002</v>
      </c>
      <c r="J91" s="35">
        <v>0</v>
      </c>
    </row>
    <row r="92" spans="2:10" x14ac:dyDescent="0.25">
      <c r="B92" s="23">
        <v>43944</v>
      </c>
      <c r="C92" s="23" t="s">
        <v>64</v>
      </c>
      <c r="D92" s="23" t="s">
        <v>8</v>
      </c>
      <c r="E92" s="29" t="s">
        <v>2</v>
      </c>
      <c r="F92" s="29" t="s">
        <v>68</v>
      </c>
      <c r="G92" s="29">
        <v>3</v>
      </c>
      <c r="H92" s="35">
        <v>10.29</v>
      </c>
      <c r="I92" s="35">
        <f>(ações2[[#This Row],[PREÇO]]*ações2[[#This Row],[QNTD]])</f>
        <v>30.869999999999997</v>
      </c>
      <c r="J92" s="35">
        <v>0</v>
      </c>
    </row>
    <row r="93" spans="2:10" x14ac:dyDescent="0.25">
      <c r="B93" s="23">
        <v>43944</v>
      </c>
      <c r="C93" s="23" t="s">
        <v>64</v>
      </c>
      <c r="D93" s="23" t="s">
        <v>8</v>
      </c>
      <c r="E93" s="29" t="s">
        <v>41</v>
      </c>
      <c r="F93" s="29" t="s">
        <v>68</v>
      </c>
      <c r="G93" s="29">
        <v>2</v>
      </c>
      <c r="H93" s="35">
        <v>5.05</v>
      </c>
      <c r="I93" s="35">
        <f>(ações2[[#This Row],[PREÇO]]*ações2[[#This Row],[QNTD]])</f>
        <v>10.1</v>
      </c>
      <c r="J93" s="35">
        <v>0</v>
      </c>
    </row>
    <row r="94" spans="2:10" x14ac:dyDescent="0.25">
      <c r="B94" s="23">
        <v>43944</v>
      </c>
      <c r="C94" s="23" t="s">
        <v>64</v>
      </c>
      <c r="D94" s="23" t="s">
        <v>8</v>
      </c>
      <c r="E94" s="29" t="s">
        <v>41</v>
      </c>
      <c r="F94" s="29" t="s">
        <v>68</v>
      </c>
      <c r="G94" s="29">
        <v>2</v>
      </c>
      <c r="H94" s="35">
        <v>4.97</v>
      </c>
      <c r="I94" s="35">
        <f>(ações2[[#This Row],[PREÇO]]*ações2[[#This Row],[QNTD]])</f>
        <v>9.94</v>
      </c>
      <c r="J94" s="35">
        <v>0</v>
      </c>
    </row>
    <row r="95" spans="2:10" x14ac:dyDescent="0.25">
      <c r="B95" s="23">
        <v>43944</v>
      </c>
      <c r="C95" s="23" t="s">
        <v>64</v>
      </c>
      <c r="D95" s="23" t="s">
        <v>8</v>
      </c>
      <c r="E95" s="29" t="s">
        <v>2</v>
      </c>
      <c r="F95" s="29" t="s">
        <v>68</v>
      </c>
      <c r="G95" s="29">
        <v>2</v>
      </c>
      <c r="H95" s="35">
        <v>9.99</v>
      </c>
      <c r="I95" s="35">
        <f>(ações2[[#This Row],[PREÇO]]*ações2[[#This Row],[QNTD]])</f>
        <v>19.98</v>
      </c>
      <c r="J95" s="35">
        <v>0</v>
      </c>
    </row>
    <row r="96" spans="2:10" x14ac:dyDescent="0.25">
      <c r="B96" s="23">
        <v>43944</v>
      </c>
      <c r="C96" s="23" t="s">
        <v>64</v>
      </c>
      <c r="D96" s="23" t="s">
        <v>8</v>
      </c>
      <c r="E96" s="29" t="s">
        <v>24</v>
      </c>
      <c r="F96" s="29" t="s">
        <v>68</v>
      </c>
      <c r="G96" s="29">
        <v>3</v>
      </c>
      <c r="H96" s="35">
        <v>4.42</v>
      </c>
      <c r="I96" s="35">
        <f>(ações2[[#This Row],[PREÇO]]*ações2[[#This Row],[QNTD]])</f>
        <v>13.26</v>
      </c>
      <c r="J96" s="35">
        <v>0</v>
      </c>
    </row>
    <row r="97" spans="2:10" x14ac:dyDescent="0.25">
      <c r="B97" s="23">
        <v>43944</v>
      </c>
      <c r="C97" s="23" t="s">
        <v>64</v>
      </c>
      <c r="D97" s="23" t="s">
        <v>40</v>
      </c>
      <c r="E97" s="30" t="s">
        <v>33</v>
      </c>
      <c r="F97" s="29" t="s">
        <v>68</v>
      </c>
      <c r="G97" s="31">
        <v>5</v>
      </c>
      <c r="H97" s="35">
        <v>10</v>
      </c>
      <c r="I97" s="35">
        <f>ações2[[#This Row],[PREÇO]]*ações2[[#This Row],[QNTD]]</f>
        <v>50</v>
      </c>
      <c r="J97" s="35">
        <v>0.02</v>
      </c>
    </row>
    <row r="98" spans="2:10" x14ac:dyDescent="0.25">
      <c r="B98" s="23">
        <v>43945</v>
      </c>
      <c r="C98" s="23" t="s">
        <v>64</v>
      </c>
      <c r="D98" s="23" t="s">
        <v>8</v>
      </c>
      <c r="E98" s="29" t="s">
        <v>41</v>
      </c>
      <c r="F98" s="29" t="s">
        <v>68</v>
      </c>
      <c r="G98" s="29">
        <v>3</v>
      </c>
      <c r="H98" s="35">
        <v>4.8499999999999996</v>
      </c>
      <c r="I98" s="35">
        <f>(ações2[[#This Row],[PREÇO]]*ações2[[#This Row],[QNTD]])</f>
        <v>14.549999999999999</v>
      </c>
      <c r="J98" s="35">
        <v>0.06</v>
      </c>
    </row>
    <row r="99" spans="2:10" x14ac:dyDescent="0.25">
      <c r="B99" s="23">
        <v>43945</v>
      </c>
      <c r="C99" s="23" t="s">
        <v>64</v>
      </c>
      <c r="D99" s="23" t="s">
        <v>8</v>
      </c>
      <c r="E99" s="29" t="s">
        <v>3</v>
      </c>
      <c r="F99" s="29" t="s">
        <v>68</v>
      </c>
      <c r="G99" s="29">
        <v>2</v>
      </c>
      <c r="H99" s="35">
        <v>8.5500000000000007</v>
      </c>
      <c r="I99" s="35">
        <f>(ações2[[#This Row],[PREÇO]]*ações2[[#This Row],[QNTD]])</f>
        <v>17.100000000000001</v>
      </c>
      <c r="J99" s="35">
        <v>0</v>
      </c>
    </row>
    <row r="100" spans="2:10" x14ac:dyDescent="0.25">
      <c r="B100" s="23">
        <v>43945</v>
      </c>
      <c r="C100" s="23" t="s">
        <v>64</v>
      </c>
      <c r="D100" s="23" t="s">
        <v>8</v>
      </c>
      <c r="E100" s="29" t="s">
        <v>41</v>
      </c>
      <c r="F100" s="29" t="s">
        <v>68</v>
      </c>
      <c r="G100" s="29">
        <v>2</v>
      </c>
      <c r="H100" s="35">
        <v>4.7699999999999996</v>
      </c>
      <c r="I100" s="35">
        <f>(ações2[[#This Row],[PREÇO]]*ações2[[#This Row],[QNTD]])</f>
        <v>9.5399999999999991</v>
      </c>
      <c r="J100" s="35">
        <v>0</v>
      </c>
    </row>
    <row r="101" spans="2:10" x14ac:dyDescent="0.25">
      <c r="B101" s="23">
        <v>43945</v>
      </c>
      <c r="C101" s="23" t="s">
        <v>64</v>
      </c>
      <c r="D101" s="23" t="s">
        <v>8</v>
      </c>
      <c r="E101" s="29" t="s">
        <v>0</v>
      </c>
      <c r="F101" s="29" t="s">
        <v>68</v>
      </c>
      <c r="G101" s="29">
        <v>5</v>
      </c>
      <c r="H101" s="35">
        <v>9.17</v>
      </c>
      <c r="I101" s="35">
        <f>(ações2[[#This Row],[PREÇO]]*ações2[[#This Row],[QNTD]])</f>
        <v>45.85</v>
      </c>
      <c r="J101" s="35">
        <v>0</v>
      </c>
    </row>
    <row r="102" spans="2:10" x14ac:dyDescent="0.25">
      <c r="B102" s="23">
        <v>43945</v>
      </c>
      <c r="C102" s="23" t="s">
        <v>64</v>
      </c>
      <c r="D102" s="23" t="s">
        <v>8</v>
      </c>
      <c r="E102" s="29" t="s">
        <v>41</v>
      </c>
      <c r="F102" s="29" t="s">
        <v>68</v>
      </c>
      <c r="G102" s="29">
        <v>2</v>
      </c>
      <c r="H102" s="35">
        <v>4.67</v>
      </c>
      <c r="I102" s="35">
        <f>(ações2[[#This Row],[PREÇO]]*ações2[[#This Row],[QNTD]])</f>
        <v>9.34</v>
      </c>
      <c r="J102" s="35">
        <v>0</v>
      </c>
    </row>
    <row r="103" spans="2:10" x14ac:dyDescent="0.25">
      <c r="B103" s="23">
        <v>43945</v>
      </c>
      <c r="C103" s="23" t="s">
        <v>64</v>
      </c>
      <c r="D103" s="23" t="s">
        <v>8</v>
      </c>
      <c r="E103" s="29" t="s">
        <v>3</v>
      </c>
      <c r="F103" s="29" t="s">
        <v>68</v>
      </c>
      <c r="G103" s="29">
        <v>2</v>
      </c>
      <c r="H103" s="35">
        <v>8.39</v>
      </c>
      <c r="I103" s="35">
        <f>(ações2[[#This Row],[PREÇO]]*ações2[[#This Row],[QNTD]])</f>
        <v>16.78</v>
      </c>
      <c r="J103" s="35">
        <v>0</v>
      </c>
    </row>
    <row r="104" spans="2:10" x14ac:dyDescent="0.25">
      <c r="B104" s="23">
        <v>43945</v>
      </c>
      <c r="C104" s="23" t="s">
        <v>64</v>
      </c>
      <c r="D104" s="23" t="s">
        <v>8</v>
      </c>
      <c r="E104" s="29" t="s">
        <v>2</v>
      </c>
      <c r="F104" s="29" t="s">
        <v>68</v>
      </c>
      <c r="G104" s="29">
        <v>2</v>
      </c>
      <c r="H104" s="35">
        <v>9.14</v>
      </c>
      <c r="I104" s="35">
        <f>(ações2[[#This Row],[PREÇO]]*ações2[[#This Row],[QNTD]])</f>
        <v>18.28</v>
      </c>
      <c r="J104" s="35">
        <v>0</v>
      </c>
    </row>
    <row r="105" spans="2:10" x14ac:dyDescent="0.25">
      <c r="B105" s="23">
        <v>43945</v>
      </c>
      <c r="C105" s="23" t="s">
        <v>64</v>
      </c>
      <c r="D105" s="23" t="s">
        <v>8</v>
      </c>
      <c r="E105" s="29" t="s">
        <v>3</v>
      </c>
      <c r="F105" s="29" t="s">
        <v>68</v>
      </c>
      <c r="G105" s="29">
        <v>2</v>
      </c>
      <c r="H105" s="35">
        <v>8.25</v>
      </c>
      <c r="I105" s="35">
        <f>(ações2[[#This Row],[PREÇO]]*ações2[[#This Row],[QNTD]])</f>
        <v>16.5</v>
      </c>
      <c r="J105" s="35">
        <v>0</v>
      </c>
    </row>
    <row r="106" spans="2:10" x14ac:dyDescent="0.25">
      <c r="B106" s="23">
        <v>43945</v>
      </c>
      <c r="C106" s="23" t="s">
        <v>64</v>
      </c>
      <c r="D106" s="23" t="s">
        <v>8</v>
      </c>
      <c r="E106" s="29" t="s">
        <v>0</v>
      </c>
      <c r="F106" s="29" t="s">
        <v>68</v>
      </c>
      <c r="G106" s="29">
        <v>3</v>
      </c>
      <c r="H106" s="35">
        <v>8.9</v>
      </c>
      <c r="I106" s="35">
        <f>(ações2[[#This Row],[PREÇO]]*ações2[[#This Row],[QNTD]])</f>
        <v>26.700000000000003</v>
      </c>
      <c r="J106" s="35">
        <v>0</v>
      </c>
    </row>
    <row r="107" spans="2:10" x14ac:dyDescent="0.25">
      <c r="B107" s="23">
        <v>43945</v>
      </c>
      <c r="C107" s="23" t="s">
        <v>64</v>
      </c>
      <c r="D107" s="23" t="s">
        <v>8</v>
      </c>
      <c r="E107" s="29" t="s">
        <v>22</v>
      </c>
      <c r="F107" s="29" t="s">
        <v>68</v>
      </c>
      <c r="G107" s="29">
        <v>2</v>
      </c>
      <c r="H107" s="35">
        <v>6.9</v>
      </c>
      <c r="I107" s="35">
        <f>(ações2[[#This Row],[PREÇO]]*ações2[[#This Row],[QNTD]])</f>
        <v>13.8</v>
      </c>
      <c r="J107" s="35">
        <v>0</v>
      </c>
    </row>
    <row r="108" spans="2:10" x14ac:dyDescent="0.25">
      <c r="B108" s="23">
        <v>43945</v>
      </c>
      <c r="C108" s="23" t="s">
        <v>64</v>
      </c>
      <c r="D108" s="23" t="s">
        <v>8</v>
      </c>
      <c r="E108" s="29" t="s">
        <v>22</v>
      </c>
      <c r="F108" s="29" t="s">
        <v>68</v>
      </c>
      <c r="G108" s="29">
        <v>3</v>
      </c>
      <c r="H108" s="35">
        <v>6.7</v>
      </c>
      <c r="I108" s="35">
        <f>(ações2[[#This Row],[PREÇO]]*ações2[[#This Row],[QNTD]])</f>
        <v>20.100000000000001</v>
      </c>
      <c r="J108" s="35">
        <v>0</v>
      </c>
    </row>
    <row r="109" spans="2:10" x14ac:dyDescent="0.25">
      <c r="B109" s="23">
        <v>43945</v>
      </c>
      <c r="C109" s="23" t="s">
        <v>64</v>
      </c>
      <c r="D109" s="23" t="s">
        <v>8</v>
      </c>
      <c r="E109" s="29" t="s">
        <v>0</v>
      </c>
      <c r="F109" s="29" t="s">
        <v>68</v>
      </c>
      <c r="G109" s="29">
        <v>3</v>
      </c>
      <c r="H109" s="35">
        <v>8.6</v>
      </c>
      <c r="I109" s="35">
        <f>(ações2[[#This Row],[PREÇO]]*ações2[[#This Row],[QNTD]])</f>
        <v>25.799999999999997</v>
      </c>
      <c r="J109" s="35">
        <v>0</v>
      </c>
    </row>
    <row r="110" spans="2:10" x14ac:dyDescent="0.25">
      <c r="B110" s="23">
        <v>43945</v>
      </c>
      <c r="C110" s="23" t="s">
        <v>64</v>
      </c>
      <c r="D110" s="23" t="s">
        <v>8</v>
      </c>
      <c r="E110" s="29" t="s">
        <v>43</v>
      </c>
      <c r="F110" s="29" t="s">
        <v>68</v>
      </c>
      <c r="G110" s="29">
        <v>2</v>
      </c>
      <c r="H110" s="35">
        <v>8.6999999999999993</v>
      </c>
      <c r="I110" s="35">
        <f>(ações2[[#This Row],[PREÇO]]*ações2[[#This Row],[QNTD]])</f>
        <v>17.399999999999999</v>
      </c>
      <c r="J110" s="35">
        <v>0</v>
      </c>
    </row>
    <row r="111" spans="2:10" x14ac:dyDescent="0.25">
      <c r="B111" s="23">
        <v>43945</v>
      </c>
      <c r="C111" s="23" t="s">
        <v>64</v>
      </c>
      <c r="D111" s="23" t="s">
        <v>40</v>
      </c>
      <c r="E111" s="30" t="s">
        <v>33</v>
      </c>
      <c r="F111" s="29" t="s">
        <v>68</v>
      </c>
      <c r="G111" s="31">
        <v>5</v>
      </c>
      <c r="H111" s="35">
        <v>9.9499999999999993</v>
      </c>
      <c r="I111" s="35">
        <f>ações2[[#This Row],[PREÇO]]*ações2[[#This Row],[QNTD]]</f>
        <v>49.75</v>
      </c>
      <c r="J111" s="35">
        <v>0.11</v>
      </c>
    </row>
    <row r="112" spans="2:10" x14ac:dyDescent="0.25">
      <c r="B112" s="23">
        <v>43945</v>
      </c>
      <c r="C112" s="23" t="s">
        <v>64</v>
      </c>
      <c r="D112" s="23" t="s">
        <v>40</v>
      </c>
      <c r="E112" s="30" t="s">
        <v>33</v>
      </c>
      <c r="F112" s="29" t="s">
        <v>68</v>
      </c>
      <c r="G112" s="31">
        <v>5</v>
      </c>
      <c r="H112" s="35">
        <v>9.93</v>
      </c>
      <c r="I112" s="35">
        <f>ações2[[#This Row],[PREÇO]]*ações2[[#This Row],[QNTD]]</f>
        <v>49.65</v>
      </c>
      <c r="J112" s="35">
        <v>0</v>
      </c>
    </row>
    <row r="113" spans="2:10" x14ac:dyDescent="0.25">
      <c r="B113" s="23">
        <v>43945</v>
      </c>
      <c r="C113" s="23" t="s">
        <v>64</v>
      </c>
      <c r="D113" s="23" t="s">
        <v>40</v>
      </c>
      <c r="E113" s="30" t="s">
        <v>33</v>
      </c>
      <c r="F113" s="29" t="s">
        <v>68</v>
      </c>
      <c r="G113" s="31">
        <v>5</v>
      </c>
      <c r="H113" s="35">
        <v>9.9</v>
      </c>
      <c r="I113" s="35">
        <f>ações2[[#This Row],[PREÇO]]*ações2[[#This Row],[QNTD]]</f>
        <v>49.5</v>
      </c>
      <c r="J113" s="35">
        <v>0</v>
      </c>
    </row>
    <row r="114" spans="2:10" x14ac:dyDescent="0.25">
      <c r="B114" s="23">
        <v>43945</v>
      </c>
      <c r="C114" s="23" t="s">
        <v>64</v>
      </c>
      <c r="D114" s="23" t="s">
        <v>40</v>
      </c>
      <c r="E114" s="30" t="s">
        <v>33</v>
      </c>
      <c r="F114" s="29" t="s">
        <v>68</v>
      </c>
      <c r="G114" s="31">
        <v>5</v>
      </c>
      <c r="H114" s="35">
        <v>9.85</v>
      </c>
      <c r="I114" s="35">
        <f>ações2[[#This Row],[PREÇO]]*ações2[[#This Row],[QNTD]]</f>
        <v>49.25</v>
      </c>
      <c r="J114" s="35">
        <v>0</v>
      </c>
    </row>
    <row r="115" spans="2:10" x14ac:dyDescent="0.25">
      <c r="B115" s="23">
        <v>43945</v>
      </c>
      <c r="C115" s="23" t="s">
        <v>64</v>
      </c>
      <c r="D115" s="23" t="s">
        <v>40</v>
      </c>
      <c r="E115" s="29" t="s">
        <v>33</v>
      </c>
      <c r="F115" s="29" t="s">
        <v>68</v>
      </c>
      <c r="G115" s="31">
        <v>5</v>
      </c>
      <c r="H115" s="35">
        <v>9.8000000000000007</v>
      </c>
      <c r="I115" s="35">
        <f>ações2[[#This Row],[PREÇO]]*ações2[[#This Row],[QNTD]]</f>
        <v>49</v>
      </c>
      <c r="J115" s="35">
        <v>0</v>
      </c>
    </row>
    <row r="116" spans="2:10" x14ac:dyDescent="0.25">
      <c r="B116" s="23">
        <v>43945</v>
      </c>
      <c r="C116" s="23" t="s">
        <v>64</v>
      </c>
      <c r="D116" s="23" t="s">
        <v>40</v>
      </c>
      <c r="E116" s="29" t="s">
        <v>33</v>
      </c>
      <c r="F116" s="29" t="s">
        <v>68</v>
      </c>
      <c r="G116" s="31">
        <v>5</v>
      </c>
      <c r="H116" s="35">
        <v>9.92</v>
      </c>
      <c r="I116" s="35">
        <f>ações2[[#This Row],[PREÇO]]*ações2[[#This Row],[QNTD]]</f>
        <v>49.6</v>
      </c>
      <c r="J116" s="35">
        <v>0</v>
      </c>
    </row>
    <row r="117" spans="2:10" x14ac:dyDescent="0.25">
      <c r="B117" s="23">
        <v>43945</v>
      </c>
      <c r="C117" s="23" t="s">
        <v>64</v>
      </c>
      <c r="D117" s="23" t="s">
        <v>40</v>
      </c>
      <c r="E117" s="29" t="s">
        <v>33</v>
      </c>
      <c r="F117" s="29" t="s">
        <v>68</v>
      </c>
      <c r="G117" s="31">
        <v>5</v>
      </c>
      <c r="H117" s="35">
        <v>9.6999999999999993</v>
      </c>
      <c r="I117" s="35">
        <f>ações2[[#This Row],[PREÇO]]*ações2[[#This Row],[QNTD]]</f>
        <v>48.5</v>
      </c>
      <c r="J117" s="35">
        <v>0</v>
      </c>
    </row>
    <row r="118" spans="2:10" x14ac:dyDescent="0.25">
      <c r="B118" s="23">
        <v>43948</v>
      </c>
      <c r="C118" s="23" t="s">
        <v>64</v>
      </c>
      <c r="D118" s="23" t="s">
        <v>8</v>
      </c>
      <c r="E118" s="29" t="s">
        <v>48</v>
      </c>
      <c r="F118" s="29" t="s">
        <v>68</v>
      </c>
      <c r="G118" s="29">
        <v>2</v>
      </c>
      <c r="H118" s="35">
        <v>9.7899999999999991</v>
      </c>
      <c r="I118" s="35">
        <f>(ações2[[#This Row],[PREÇO]]*ações2[[#This Row],[QNTD]])</f>
        <v>19.579999999999998</v>
      </c>
      <c r="J118" s="35">
        <v>0</v>
      </c>
    </row>
    <row r="119" spans="2:10" x14ac:dyDescent="0.25">
      <c r="B119" s="23">
        <v>43950</v>
      </c>
      <c r="C119" s="23" t="s">
        <v>64</v>
      </c>
      <c r="D119" s="23" t="s">
        <v>8</v>
      </c>
      <c r="E119" s="29" t="s">
        <v>3</v>
      </c>
      <c r="F119" s="29" t="s">
        <v>68</v>
      </c>
      <c r="G119" s="29">
        <v>2</v>
      </c>
      <c r="H119" s="35">
        <v>9.27</v>
      </c>
      <c r="I119" s="35">
        <f>(ações2[[#This Row],[PREÇO]]*ações2[[#This Row],[QNTD]])</f>
        <v>18.54</v>
      </c>
      <c r="J119" s="35">
        <v>0</v>
      </c>
    </row>
    <row r="120" spans="2:10" x14ac:dyDescent="0.25">
      <c r="B120" s="23">
        <v>43950</v>
      </c>
      <c r="C120" s="23" t="s">
        <v>64</v>
      </c>
      <c r="D120" s="23" t="s">
        <v>8</v>
      </c>
      <c r="E120" s="29" t="s">
        <v>24</v>
      </c>
      <c r="F120" s="29" t="s">
        <v>68</v>
      </c>
      <c r="G120" s="29">
        <v>2</v>
      </c>
      <c r="H120" s="35">
        <v>4.43</v>
      </c>
      <c r="I120" s="35">
        <f>(ações2[[#This Row],[PREÇO]]*ações2[[#This Row],[QNTD]])</f>
        <v>8.86</v>
      </c>
      <c r="J120" s="35">
        <v>0</v>
      </c>
    </row>
    <row r="121" spans="2:10" x14ac:dyDescent="0.25">
      <c r="B121" s="23">
        <v>43951</v>
      </c>
      <c r="C121" s="23" t="s">
        <v>64</v>
      </c>
      <c r="D121" s="23" t="s">
        <v>8</v>
      </c>
      <c r="E121" s="29" t="s">
        <v>24</v>
      </c>
      <c r="F121" s="29" t="s">
        <v>68</v>
      </c>
      <c r="G121" s="29">
        <v>2</v>
      </c>
      <c r="H121" s="35">
        <v>4.28</v>
      </c>
      <c r="I121" s="35">
        <f>(ações2[[#This Row],[PREÇO]]*ações2[[#This Row],[QNTD]])</f>
        <v>8.56</v>
      </c>
      <c r="J121" s="35">
        <v>0</v>
      </c>
    </row>
    <row r="122" spans="2:10" x14ac:dyDescent="0.25">
      <c r="B122" s="23">
        <v>43951</v>
      </c>
      <c r="C122" s="23" t="s">
        <v>64</v>
      </c>
      <c r="D122" s="23" t="s">
        <v>8</v>
      </c>
      <c r="E122" s="29" t="s">
        <v>24</v>
      </c>
      <c r="F122" s="29" t="s">
        <v>68</v>
      </c>
      <c r="G122" s="29">
        <v>2</v>
      </c>
      <c r="H122" s="35">
        <v>4.2300000000000004</v>
      </c>
      <c r="I122" s="35">
        <f>(ações2[[#This Row],[PREÇO]]*ações2[[#This Row],[QNTD]])</f>
        <v>8.4600000000000009</v>
      </c>
      <c r="J122" s="35">
        <v>0</v>
      </c>
    </row>
    <row r="123" spans="2:10" x14ac:dyDescent="0.25">
      <c r="B123" s="23">
        <v>43956</v>
      </c>
      <c r="C123" s="23" t="s">
        <v>64</v>
      </c>
      <c r="D123" s="23" t="s">
        <v>8</v>
      </c>
      <c r="E123" s="29" t="s">
        <v>24</v>
      </c>
      <c r="F123" s="29" t="s">
        <v>68</v>
      </c>
      <c r="G123" s="29">
        <v>2</v>
      </c>
      <c r="H123" s="35">
        <v>4.0999999999999996</v>
      </c>
      <c r="I123" s="35">
        <f>(ações2[[#This Row],[PREÇO]]*ações2[[#This Row],[QNTD]])</f>
        <v>8.1999999999999993</v>
      </c>
      <c r="J123" s="35">
        <v>0.04</v>
      </c>
    </row>
    <row r="124" spans="2:10" x14ac:dyDescent="0.25">
      <c r="B124" s="23">
        <v>43956</v>
      </c>
      <c r="C124" s="23" t="s">
        <v>64</v>
      </c>
      <c r="D124" s="23" t="s">
        <v>8</v>
      </c>
      <c r="E124" s="29" t="s">
        <v>12</v>
      </c>
      <c r="F124" s="29" t="s">
        <v>68</v>
      </c>
      <c r="G124" s="29">
        <v>2</v>
      </c>
      <c r="H124" s="35">
        <v>8.6999999999999993</v>
      </c>
      <c r="I124" s="35">
        <f>(ações2[[#This Row],[PREÇO]]*ações2[[#This Row],[QNTD]])</f>
        <v>17.399999999999999</v>
      </c>
      <c r="J124" s="35">
        <v>0</v>
      </c>
    </row>
    <row r="125" spans="2:10" x14ac:dyDescent="0.25">
      <c r="B125" s="23">
        <v>43956</v>
      </c>
      <c r="C125" s="23" t="s">
        <v>64</v>
      </c>
      <c r="D125" s="23" t="s">
        <v>8</v>
      </c>
      <c r="E125" s="29" t="s">
        <v>12</v>
      </c>
      <c r="F125" s="29" t="s">
        <v>68</v>
      </c>
      <c r="G125" s="29">
        <v>2</v>
      </c>
      <c r="H125" s="35">
        <v>8.5500000000000007</v>
      </c>
      <c r="I125" s="35">
        <f>(ações2[[#This Row],[PREÇO]]*ações2[[#This Row],[QNTD]])</f>
        <v>17.100000000000001</v>
      </c>
      <c r="J125" s="35">
        <v>0</v>
      </c>
    </row>
    <row r="126" spans="2:10" x14ac:dyDescent="0.25">
      <c r="B126" s="23">
        <v>43956</v>
      </c>
      <c r="C126" s="23" t="s">
        <v>64</v>
      </c>
      <c r="D126" s="23" t="s">
        <v>8</v>
      </c>
      <c r="E126" s="29" t="s">
        <v>12</v>
      </c>
      <c r="F126" s="29" t="s">
        <v>68</v>
      </c>
      <c r="G126" s="29">
        <v>3</v>
      </c>
      <c r="H126" s="35">
        <v>8.42</v>
      </c>
      <c r="I126" s="35">
        <f>(ações2[[#This Row],[PREÇO]]*ações2[[#This Row],[QNTD]])</f>
        <v>25.259999999999998</v>
      </c>
      <c r="J126" s="35">
        <v>0</v>
      </c>
    </row>
    <row r="127" spans="2:10" x14ac:dyDescent="0.25">
      <c r="B127" s="23">
        <v>43956</v>
      </c>
      <c r="C127" s="23" t="s">
        <v>64</v>
      </c>
      <c r="D127" s="23" t="s">
        <v>8</v>
      </c>
      <c r="E127" s="29" t="s">
        <v>12</v>
      </c>
      <c r="F127" s="29" t="s">
        <v>68</v>
      </c>
      <c r="G127" s="29">
        <v>2</v>
      </c>
      <c r="H127" s="35">
        <v>8.52</v>
      </c>
      <c r="I127" s="35">
        <f>(ações2[[#This Row],[PREÇO]]*ações2[[#This Row],[QNTD]])</f>
        <v>17.04</v>
      </c>
      <c r="J127" s="35">
        <v>0</v>
      </c>
    </row>
    <row r="128" spans="2:10" x14ac:dyDescent="0.25">
      <c r="B128" s="23">
        <v>43956</v>
      </c>
      <c r="C128" s="23" t="s">
        <v>64</v>
      </c>
      <c r="D128" s="23" t="s">
        <v>8</v>
      </c>
      <c r="E128" s="29" t="s">
        <v>24</v>
      </c>
      <c r="F128" s="29" t="s">
        <v>68</v>
      </c>
      <c r="G128" s="29">
        <v>2</v>
      </c>
      <c r="H128" s="35">
        <v>4</v>
      </c>
      <c r="I128" s="35">
        <f>(ações2[[#This Row],[PREÇO]]*ações2[[#This Row],[QNTD]])</f>
        <v>8</v>
      </c>
      <c r="J128" s="35">
        <v>0</v>
      </c>
    </row>
    <row r="129" spans="2:23" x14ac:dyDescent="0.25">
      <c r="B129" s="23">
        <v>43956</v>
      </c>
      <c r="C129" s="23" t="s">
        <v>64</v>
      </c>
      <c r="D129" s="23" t="s">
        <v>8</v>
      </c>
      <c r="E129" s="29" t="s">
        <v>12</v>
      </c>
      <c r="F129" s="29" t="s">
        <v>68</v>
      </c>
      <c r="G129" s="29">
        <v>1</v>
      </c>
      <c r="H129" s="35">
        <v>8.4</v>
      </c>
      <c r="I129" s="35">
        <f>(ações2[[#This Row],[PREÇO]]*ações2[[#This Row],[QNTD]])</f>
        <v>8.4</v>
      </c>
      <c r="J129" s="35">
        <v>0</v>
      </c>
    </row>
    <row r="130" spans="2:23" x14ac:dyDescent="0.25">
      <c r="B130" s="23">
        <v>43956</v>
      </c>
      <c r="C130" s="23" t="s">
        <v>64</v>
      </c>
      <c r="D130" s="23" t="s">
        <v>8</v>
      </c>
      <c r="E130" s="29" t="s">
        <v>12</v>
      </c>
      <c r="F130" s="29" t="s">
        <v>68</v>
      </c>
      <c r="G130" s="29">
        <v>1</v>
      </c>
      <c r="H130" s="35">
        <v>8.3699999999999992</v>
      </c>
      <c r="I130" s="35">
        <f>(ações2[[#This Row],[PREÇO]]*ações2[[#This Row],[QNTD]])</f>
        <v>8.3699999999999992</v>
      </c>
      <c r="J130" s="35">
        <v>0</v>
      </c>
    </row>
    <row r="131" spans="2:23" x14ac:dyDescent="0.25">
      <c r="B131" s="23">
        <v>43956</v>
      </c>
      <c r="C131" s="23" t="s">
        <v>64</v>
      </c>
      <c r="D131" s="23" t="s">
        <v>8</v>
      </c>
      <c r="E131" s="29" t="s">
        <v>12</v>
      </c>
      <c r="F131" s="29" t="s">
        <v>68</v>
      </c>
      <c r="G131" s="29">
        <v>3</v>
      </c>
      <c r="H131" s="35">
        <v>8.3000000000000007</v>
      </c>
      <c r="I131" s="35">
        <f>(ações2[[#This Row],[PREÇO]]*ações2[[#This Row],[QNTD]])</f>
        <v>24.900000000000002</v>
      </c>
      <c r="J131" s="35">
        <v>0</v>
      </c>
    </row>
    <row r="132" spans="2:23" x14ac:dyDescent="0.25">
      <c r="B132" s="23">
        <v>43956</v>
      </c>
      <c r="C132" s="23" t="s">
        <v>64</v>
      </c>
      <c r="D132" s="23" t="s">
        <v>8</v>
      </c>
      <c r="E132" s="29" t="s">
        <v>12</v>
      </c>
      <c r="F132" s="29" t="s">
        <v>68</v>
      </c>
      <c r="G132" s="29">
        <v>3</v>
      </c>
      <c r="H132" s="35">
        <v>8.1999999999999993</v>
      </c>
      <c r="I132" s="35">
        <f>(ações2[[#This Row],[PREÇO]]*ações2[[#This Row],[QNTD]])</f>
        <v>24.599999999999998</v>
      </c>
      <c r="J132" s="35">
        <v>0</v>
      </c>
    </row>
    <row r="133" spans="2:23" x14ac:dyDescent="0.25">
      <c r="B133" s="23">
        <v>43957</v>
      </c>
      <c r="C133" s="23" t="s">
        <v>64</v>
      </c>
      <c r="D133" s="23" t="s">
        <v>8</v>
      </c>
      <c r="E133" s="29" t="s">
        <v>3</v>
      </c>
      <c r="F133" s="29" t="s">
        <v>68</v>
      </c>
      <c r="G133" s="29">
        <v>2</v>
      </c>
      <c r="H133" s="35">
        <v>8.6999999999999993</v>
      </c>
      <c r="I133" s="35">
        <f>(ações2[[#This Row],[PREÇO]]*ações2[[#This Row],[QNTD]])</f>
        <v>17.399999999999999</v>
      </c>
      <c r="J133" s="35">
        <v>0.01</v>
      </c>
      <c r="L133" s="109" t="s">
        <v>56</v>
      </c>
      <c r="M133" s="110" t="s">
        <v>119</v>
      </c>
      <c r="N133" s="110" t="s">
        <v>120</v>
      </c>
      <c r="O133" s="108" t="s">
        <v>129</v>
      </c>
      <c r="P133" s="110" t="s">
        <v>121</v>
      </c>
      <c r="Q133" s="110" t="s">
        <v>130</v>
      </c>
      <c r="R133" s="110" t="s">
        <v>123</v>
      </c>
      <c r="S133" s="112" t="s">
        <v>132</v>
      </c>
      <c r="T133" s="126" t="s">
        <v>127</v>
      </c>
      <c r="U133" s="127" t="s">
        <v>122</v>
      </c>
      <c r="V133" s="127" t="s">
        <v>126</v>
      </c>
      <c r="W133" s="128" t="s">
        <v>128</v>
      </c>
    </row>
    <row r="134" spans="2:23" x14ac:dyDescent="0.25">
      <c r="B134" s="23">
        <v>43957</v>
      </c>
      <c r="C134" s="23" t="s">
        <v>64</v>
      </c>
      <c r="D134" s="23" t="s">
        <v>8</v>
      </c>
      <c r="E134" s="29" t="s">
        <v>24</v>
      </c>
      <c r="F134" s="29" t="s">
        <v>68</v>
      </c>
      <c r="G134" s="29">
        <v>2</v>
      </c>
      <c r="H134" s="35">
        <v>3.83</v>
      </c>
      <c r="I134" s="35">
        <f>(ações2[[#This Row],[PREÇO]]*ações2[[#This Row],[QNTD]])</f>
        <v>7.66</v>
      </c>
      <c r="J134" s="35">
        <v>0</v>
      </c>
      <c r="L134" s="118" t="s">
        <v>82</v>
      </c>
      <c r="M134" s="119">
        <v>63905186</v>
      </c>
      <c r="N134" s="119">
        <v>50896970</v>
      </c>
      <c r="O134" s="119">
        <v>10179394</v>
      </c>
      <c r="P134" s="119">
        <v>15850000</v>
      </c>
      <c r="Q134" s="119">
        <v>10</v>
      </c>
      <c r="R134" s="120">
        <v>4.8100000000000005</v>
      </c>
      <c r="S134" s="121">
        <f>VLOOKUP(L134,controle[[AÇÃO]:[COTAÇÃO]],4,FALSE)</f>
        <v>114.9</v>
      </c>
      <c r="T134" s="124">
        <f t="shared" ref="T134:T137" si="0">Q134*R134</f>
        <v>48.100000000000009</v>
      </c>
      <c r="U134" s="122">
        <f t="shared" ref="U134:U137" si="1">R134/S134</f>
        <v>4.1862489120974761E-2</v>
      </c>
      <c r="V134" s="121">
        <f>'Funds Rend'!P3</f>
        <v>1.3897936593059936</v>
      </c>
      <c r="W134" s="125">
        <f>'Funds Rend'!Q3</f>
        <v>6.6849075012618302</v>
      </c>
    </row>
    <row r="135" spans="2:23" x14ac:dyDescent="0.25">
      <c r="B135" s="23">
        <v>43957</v>
      </c>
      <c r="C135" s="23" t="s">
        <v>64</v>
      </c>
      <c r="D135" s="23" t="s">
        <v>8</v>
      </c>
      <c r="E135" s="29" t="s">
        <v>41</v>
      </c>
      <c r="F135" s="29" t="s">
        <v>68</v>
      </c>
      <c r="G135" s="29">
        <v>2</v>
      </c>
      <c r="H135" s="35">
        <v>4.8099999999999996</v>
      </c>
      <c r="I135" s="35">
        <f>(ações2[[#This Row],[PREÇO]]*ações2[[#This Row],[QNTD]])</f>
        <v>9.6199999999999992</v>
      </c>
      <c r="J135" s="35">
        <v>0</v>
      </c>
      <c r="L135" s="118" t="s">
        <v>33</v>
      </c>
      <c r="M135" s="119">
        <v>37622422</v>
      </c>
      <c r="N135" s="119">
        <v>37621068</v>
      </c>
      <c r="O135" s="119">
        <v>7524213.5999999996</v>
      </c>
      <c r="P135" s="119">
        <v>122942210</v>
      </c>
      <c r="Q135" s="119">
        <v>100</v>
      </c>
      <c r="R135" s="120">
        <v>0.46</v>
      </c>
      <c r="S135" s="121">
        <f>VLOOKUP(L135,controle[[AÇÃO]:[COTAÇÃO]],4,FALSE)</f>
        <v>10.98</v>
      </c>
      <c r="T135" s="124">
        <f t="shared" si="0"/>
        <v>46</v>
      </c>
      <c r="U135" s="122">
        <f t="shared" si="1"/>
        <v>4.1894353369763208E-2</v>
      </c>
      <c r="V135" s="121">
        <f>'Funds Rend'!P4</f>
        <v>5.8151624409549817E-2</v>
      </c>
      <c r="W135" s="125">
        <f>'Funds Rend'!Q4</f>
        <v>2.6749747228392916E-2</v>
      </c>
    </row>
    <row r="136" spans="2:23" x14ac:dyDescent="0.25">
      <c r="B136" s="23">
        <v>43957</v>
      </c>
      <c r="C136" s="23" t="s">
        <v>64</v>
      </c>
      <c r="D136" s="23" t="s">
        <v>8</v>
      </c>
      <c r="E136" s="29" t="s">
        <v>12</v>
      </c>
      <c r="F136" s="29" t="s">
        <v>68</v>
      </c>
      <c r="G136" s="29">
        <v>3</v>
      </c>
      <c r="H136" s="35">
        <v>7.85</v>
      </c>
      <c r="I136" s="35">
        <f>(ações2[[#This Row],[PREÇO]]*ações2[[#This Row],[QNTD]])</f>
        <v>23.549999999999997</v>
      </c>
      <c r="J136" s="35">
        <v>0</v>
      </c>
      <c r="L136" s="118" t="s">
        <v>39</v>
      </c>
      <c r="M136" s="119">
        <v>19963513</v>
      </c>
      <c r="N136" s="119">
        <v>19160300</v>
      </c>
      <c r="O136" s="119">
        <v>3832060</v>
      </c>
      <c r="P136" s="119">
        <v>5990397</v>
      </c>
      <c r="Q136" s="119">
        <v>33</v>
      </c>
      <c r="R136" s="120">
        <v>4.8187947441379935</v>
      </c>
      <c r="S136" s="121">
        <f>VLOOKUP(L136,controle[[AÇÃO]:[COTAÇÃO]],4,FALSE)</f>
        <v>101.84</v>
      </c>
      <c r="T136" s="124">
        <f t="shared" si="0"/>
        <v>159.02022655655378</v>
      </c>
      <c r="U136" s="122">
        <f t="shared" si="1"/>
        <v>4.7317308956578881E-2</v>
      </c>
      <c r="V136" s="121">
        <f>'Funds Rend'!P5</f>
        <v>0.73509474413799281</v>
      </c>
      <c r="W136" s="125">
        <f>'Funds Rend'!Q5</f>
        <v>3.5422706894956226</v>
      </c>
    </row>
    <row r="137" spans="2:23" x14ac:dyDescent="0.25">
      <c r="B137" s="23">
        <v>43958</v>
      </c>
      <c r="C137" s="23" t="s">
        <v>64</v>
      </c>
      <c r="D137" s="23" t="s">
        <v>8</v>
      </c>
      <c r="E137" s="29" t="s">
        <v>3</v>
      </c>
      <c r="F137" s="29" t="s">
        <v>68</v>
      </c>
      <c r="G137" s="29">
        <v>3</v>
      </c>
      <c r="H137" s="35">
        <v>8.6</v>
      </c>
      <c r="I137" s="35">
        <f>(ações2[[#This Row],[PREÇO]]*ações2[[#This Row],[QNTD]])</f>
        <v>25.799999999999997</v>
      </c>
      <c r="J137" s="35">
        <v>0.04</v>
      </c>
      <c r="L137" s="118" t="s">
        <v>125</v>
      </c>
      <c r="M137" s="119">
        <v>30030566</v>
      </c>
      <c r="N137" s="119">
        <v>28657709</v>
      </c>
      <c r="O137" s="119">
        <v>5731541.7999999998</v>
      </c>
      <c r="P137" s="119">
        <v>6856389</v>
      </c>
      <c r="Q137" s="119">
        <v>5</v>
      </c>
      <c r="R137" s="120">
        <v>5.1643634688755267</v>
      </c>
      <c r="S137" s="121">
        <f>VLOOKUP(L137,controle[[AÇÃO]:[COTAÇÃO]],4,FALSE)</f>
        <v>101.36</v>
      </c>
      <c r="T137" s="129">
        <f t="shared" si="0"/>
        <v>25.821817344377635</v>
      </c>
      <c r="U137" s="122">
        <f t="shared" si="1"/>
        <v>5.095070509940338E-2</v>
      </c>
      <c r="V137" s="130">
        <f>'Funds Rend'!P6</f>
        <v>0.98436346887552606</v>
      </c>
      <c r="W137" s="131">
        <f>'Funds Rend'!Q6</f>
        <v>10.253927937985846</v>
      </c>
    </row>
    <row r="138" spans="2:23" x14ac:dyDescent="0.25">
      <c r="B138" s="23">
        <v>43958</v>
      </c>
      <c r="C138" s="23" t="s">
        <v>64</v>
      </c>
      <c r="D138" s="23" t="s">
        <v>8</v>
      </c>
      <c r="E138" s="29" t="s">
        <v>3</v>
      </c>
      <c r="F138" s="29" t="s">
        <v>68</v>
      </c>
      <c r="G138" s="29">
        <v>3</v>
      </c>
      <c r="H138" s="35">
        <v>8.5</v>
      </c>
      <c r="I138" s="35">
        <f>(ações2[[#This Row],[PREÇO]]*ações2[[#This Row],[QNTD]])</f>
        <v>25.5</v>
      </c>
      <c r="J138" s="35">
        <v>0</v>
      </c>
      <c r="L138" s="115" t="s">
        <v>62</v>
      </c>
      <c r="M138" s="116">
        <v>151521687</v>
      </c>
      <c r="N138" s="116">
        <v>136336047</v>
      </c>
      <c r="O138" s="116">
        <v>6816802.3499999996</v>
      </c>
      <c r="P138" s="116">
        <v>37909749</v>
      </c>
      <c r="Q138" s="116">
        <v>148</v>
      </c>
      <c r="R138" s="117">
        <v>15.253158213013521</v>
      </c>
      <c r="S138" s="121" t="e">
        <f>VLOOKUP(L138,controle[[AÇÃO]:[COTAÇÃO]],4,FALSE)</f>
        <v>#N/A</v>
      </c>
      <c r="T138" s="134">
        <f>SUBTOTAL(109,Table3[Pagamento])</f>
        <v>278.94204390093142</v>
      </c>
      <c r="U138" s="133" t="e">
        <f>GETPIVOTDATA("[Measures].[Sum of Rend Cota]",$L$133)/GETPIVOTDATA("[Measures].[Sum of COTAÇÃO]",$L$133)</f>
        <v>#REF!</v>
      </c>
      <c r="V138" s="135">
        <f>SUBTOTAL(109,Table3[Previsão])</f>
        <v>3.1674034967290625</v>
      </c>
      <c r="W138" s="132">
        <f>SUBTOTAL(109,Table3[Prev. Pag.])</f>
        <v>20.507855875971693</v>
      </c>
    </row>
    <row r="139" spans="2:23" x14ac:dyDescent="0.25">
      <c r="B139" s="23">
        <v>43958</v>
      </c>
      <c r="C139" s="23" t="s">
        <v>64</v>
      </c>
      <c r="D139" s="23" t="s">
        <v>8</v>
      </c>
      <c r="E139" s="29" t="s">
        <v>3</v>
      </c>
      <c r="F139" s="29" t="s">
        <v>68</v>
      </c>
      <c r="G139" s="29">
        <v>5</v>
      </c>
      <c r="H139" s="35">
        <v>8.4</v>
      </c>
      <c r="I139" s="35">
        <f>(ações2[[#This Row],[PREÇO]]*ações2[[#This Row],[QNTD]])</f>
        <v>42</v>
      </c>
      <c r="J139" s="35">
        <v>0</v>
      </c>
      <c r="Q139" s="34"/>
    </row>
    <row r="140" spans="2:23" x14ac:dyDescent="0.25">
      <c r="B140" s="23">
        <v>43958</v>
      </c>
      <c r="C140" s="23" t="s">
        <v>64</v>
      </c>
      <c r="D140" s="23" t="s">
        <v>8</v>
      </c>
      <c r="E140" s="29" t="s">
        <v>41</v>
      </c>
      <c r="F140" s="29" t="s">
        <v>68</v>
      </c>
      <c r="G140" s="29">
        <v>3</v>
      </c>
      <c r="H140" s="35">
        <v>4.74</v>
      </c>
      <c r="I140" s="35">
        <f>(ações2[[#This Row],[PREÇO]]*ações2[[#This Row],[QNTD]])</f>
        <v>14.22</v>
      </c>
      <c r="J140" s="35">
        <v>0</v>
      </c>
      <c r="L140" s="32" t="s">
        <v>79</v>
      </c>
      <c r="M140" s="32" t="s">
        <v>50</v>
      </c>
      <c r="R140" s="32" t="s">
        <v>78</v>
      </c>
      <c r="S140" t="s">
        <v>51</v>
      </c>
      <c r="T140" s="32" t="s">
        <v>13</v>
      </c>
      <c r="U140" t="s">
        <v>65</v>
      </c>
    </row>
    <row r="141" spans="2:23" x14ac:dyDescent="0.25">
      <c r="B141" s="23">
        <v>43958</v>
      </c>
      <c r="C141" s="23" t="s">
        <v>64</v>
      </c>
      <c r="D141" s="23" t="s">
        <v>8</v>
      </c>
      <c r="E141" s="29" t="s">
        <v>3</v>
      </c>
      <c r="F141" s="29" t="s">
        <v>68</v>
      </c>
      <c r="G141" s="29">
        <v>5</v>
      </c>
      <c r="H141" s="35">
        <v>8.3000000000000007</v>
      </c>
      <c r="I141" s="35">
        <f>(ações2[[#This Row],[PREÇO]]*ações2[[#This Row],[QNTD]])</f>
        <v>41.5</v>
      </c>
      <c r="J141" s="35">
        <v>0</v>
      </c>
      <c r="L141" s="32" t="s">
        <v>56</v>
      </c>
      <c r="M141" t="s">
        <v>7</v>
      </c>
      <c r="N141" t="s">
        <v>21</v>
      </c>
      <c r="O141" t="s">
        <v>57</v>
      </c>
      <c r="P141" t="s">
        <v>46</v>
      </c>
      <c r="R141" s="33" t="s">
        <v>52</v>
      </c>
      <c r="S141" s="36">
        <v>556.20000000000005</v>
      </c>
      <c r="T141" s="33" t="s">
        <v>52</v>
      </c>
      <c r="U141" s="36">
        <v>0.12999999999999998</v>
      </c>
    </row>
    <row r="142" spans="2:23" x14ac:dyDescent="0.25">
      <c r="B142" s="23">
        <v>43958</v>
      </c>
      <c r="C142" s="23" t="s">
        <v>64</v>
      </c>
      <c r="D142" s="23" t="s">
        <v>8</v>
      </c>
      <c r="E142" s="29" t="s">
        <v>3</v>
      </c>
      <c r="F142" s="29" t="s">
        <v>68</v>
      </c>
      <c r="G142" s="29">
        <v>2</v>
      </c>
      <c r="H142" s="35">
        <v>8.35</v>
      </c>
      <c r="I142" s="35">
        <f>(ações2[[#This Row],[PREÇO]]*ações2[[#This Row],[QNTD]])</f>
        <v>16.7</v>
      </c>
      <c r="J142" s="35">
        <v>0</v>
      </c>
      <c r="L142" s="33" t="s">
        <v>52</v>
      </c>
      <c r="M142" s="34">
        <v>0.1</v>
      </c>
      <c r="N142" s="34">
        <v>0</v>
      </c>
      <c r="O142" s="34">
        <v>0</v>
      </c>
      <c r="P142" s="34">
        <v>977.98</v>
      </c>
      <c r="R142" s="33" t="s">
        <v>53</v>
      </c>
      <c r="S142" s="36">
        <v>5659.34</v>
      </c>
      <c r="T142" s="33" t="s">
        <v>53</v>
      </c>
      <c r="U142" s="36">
        <v>1.6100000000000003</v>
      </c>
      <c r="V142" s="65">
        <f>SUM(GETPIVOTDATA("VALOR",$R$140)+GETPIVOTDATA("TAXAS",$T$140))</f>
        <v>9353.4599999999991</v>
      </c>
      <c r="W142" s="36"/>
    </row>
    <row r="143" spans="2:23" x14ac:dyDescent="0.25">
      <c r="B143" s="17">
        <v>43959</v>
      </c>
      <c r="C143" s="16" t="s">
        <v>64</v>
      </c>
      <c r="D143" s="17" t="s">
        <v>8</v>
      </c>
      <c r="E143" s="18" t="s">
        <v>48</v>
      </c>
      <c r="F143" s="29" t="s">
        <v>68</v>
      </c>
      <c r="G143" s="18">
        <v>1</v>
      </c>
      <c r="H143" s="28">
        <v>9.6999999999999993</v>
      </c>
      <c r="I143" s="28">
        <f>(ações2[[#This Row],[PREÇO]]*ações2[[#This Row],[QNTD]])</f>
        <v>9.6999999999999993</v>
      </c>
      <c r="J143" s="28">
        <v>0</v>
      </c>
      <c r="L143" s="33" t="s">
        <v>53</v>
      </c>
      <c r="M143" s="34">
        <v>4.8659999999999961</v>
      </c>
      <c r="N143" s="34">
        <v>-586.79</v>
      </c>
      <c r="O143" s="34">
        <v>5402.34</v>
      </c>
      <c r="P143" s="34">
        <v>5203.0200000000004</v>
      </c>
      <c r="R143" s="33" t="s">
        <v>54</v>
      </c>
      <c r="S143" s="36">
        <v>1267.23</v>
      </c>
      <c r="T143" s="33" t="s">
        <v>54</v>
      </c>
      <c r="U143" s="36">
        <v>0.4</v>
      </c>
      <c r="V143" s="65">
        <f>SUM(GETPIVOTDATA("VALOR",$L$140,"OPERAÇÃO","INTER")+GETPIVOTDATA("VALOR",$L$140,"OPERAÇÃO","TRANSFER"))</f>
        <v>9467.1939999999995</v>
      </c>
      <c r="W143" s="36"/>
    </row>
    <row r="144" spans="2:23" x14ac:dyDescent="0.25">
      <c r="B144" s="17">
        <v>43959</v>
      </c>
      <c r="C144" s="16" t="s">
        <v>64</v>
      </c>
      <c r="D144" s="17" t="s">
        <v>8</v>
      </c>
      <c r="E144" s="18" t="s">
        <v>48</v>
      </c>
      <c r="F144" s="29" t="s">
        <v>68</v>
      </c>
      <c r="G144" s="18">
        <v>1</v>
      </c>
      <c r="H144" s="28">
        <v>9.6</v>
      </c>
      <c r="I144" s="28">
        <f>(ações2[[#This Row],[PREÇO]]*ações2[[#This Row],[QNTD]])</f>
        <v>9.6</v>
      </c>
      <c r="J144" s="28">
        <v>0</v>
      </c>
      <c r="L144" s="33" t="s">
        <v>54</v>
      </c>
      <c r="M144" s="34">
        <v>56.588000000000044</v>
      </c>
      <c r="N144" s="34">
        <v>0</v>
      </c>
      <c r="O144" s="34">
        <v>6500</v>
      </c>
      <c r="P144" s="34">
        <v>1380</v>
      </c>
      <c r="R144" s="33" t="s">
        <v>86</v>
      </c>
      <c r="S144" s="36">
        <v>1676.01</v>
      </c>
      <c r="T144" s="33" t="s">
        <v>86</v>
      </c>
      <c r="U144" s="36">
        <v>0.44000000000000006</v>
      </c>
      <c r="V144" s="64">
        <f>V143-V142-3.73</f>
        <v>110.00400000000037</v>
      </c>
      <c r="W144" s="38" t="s">
        <v>74</v>
      </c>
    </row>
    <row r="145" spans="2:23" x14ac:dyDescent="0.25">
      <c r="B145" s="17">
        <v>43963</v>
      </c>
      <c r="C145" s="16" t="s">
        <v>64</v>
      </c>
      <c r="D145" s="17" t="s">
        <v>8</v>
      </c>
      <c r="E145" s="18" t="s">
        <v>48</v>
      </c>
      <c r="F145" s="18" t="s">
        <v>68</v>
      </c>
      <c r="G145" s="18">
        <v>2</v>
      </c>
      <c r="H145" s="28">
        <v>9.5</v>
      </c>
      <c r="I145" s="28">
        <f>(ações2[[#This Row],[PREÇO]]*ações2[[#This Row],[QNTD]])</f>
        <v>19</v>
      </c>
      <c r="J145" s="28">
        <v>0.03</v>
      </c>
      <c r="L145" s="33" t="s">
        <v>86</v>
      </c>
      <c r="M145" s="34">
        <v>38.01</v>
      </c>
      <c r="N145" s="34">
        <v>0</v>
      </c>
      <c r="O145" s="34">
        <v>0</v>
      </c>
      <c r="P145" s="34">
        <v>1505</v>
      </c>
      <c r="R145" s="33" t="s">
        <v>134</v>
      </c>
      <c r="S145" s="36">
        <v>192.05</v>
      </c>
      <c r="T145" s="33" t="s">
        <v>134</v>
      </c>
      <c r="U145" s="36">
        <v>0.05</v>
      </c>
      <c r="V145" s="64">
        <f>V144+0.03</f>
        <v>110.03400000000038</v>
      </c>
      <c r="W145" s="38" t="s">
        <v>75</v>
      </c>
    </row>
    <row r="146" spans="2:23" x14ac:dyDescent="0.25">
      <c r="B146" s="17">
        <v>43963</v>
      </c>
      <c r="C146" s="16" t="s">
        <v>64</v>
      </c>
      <c r="D146" s="17" t="s">
        <v>8</v>
      </c>
      <c r="E146" s="18" t="s">
        <v>43</v>
      </c>
      <c r="F146" s="18" t="s">
        <v>68</v>
      </c>
      <c r="G146" s="18">
        <v>2</v>
      </c>
      <c r="H146" s="28">
        <v>8.42</v>
      </c>
      <c r="I146" s="28">
        <f>(ações2[[#This Row],[PREÇO]]*ações2[[#This Row],[QNTD]])</f>
        <v>16.84</v>
      </c>
      <c r="J146" s="28">
        <v>0</v>
      </c>
      <c r="L146" s="33" t="s">
        <v>134</v>
      </c>
      <c r="M146" s="34">
        <v>1.63</v>
      </c>
      <c r="N146" s="34">
        <v>0</v>
      </c>
      <c r="O146" s="34">
        <v>0</v>
      </c>
      <c r="P146" s="34">
        <v>300</v>
      </c>
      <c r="R146" s="33" t="s">
        <v>62</v>
      </c>
      <c r="S146" s="36">
        <v>9350.83</v>
      </c>
      <c r="T146" s="33" t="s">
        <v>13</v>
      </c>
      <c r="U146" s="36">
        <v>2.63</v>
      </c>
      <c r="V146" s="138"/>
    </row>
    <row r="147" spans="2:23" x14ac:dyDescent="0.25">
      <c r="B147" s="17">
        <v>43963</v>
      </c>
      <c r="C147" s="23" t="s">
        <v>64</v>
      </c>
      <c r="D147" s="17" t="s">
        <v>8</v>
      </c>
      <c r="E147" s="15" t="s">
        <v>0</v>
      </c>
      <c r="F147" s="15" t="s">
        <v>68</v>
      </c>
      <c r="G147" s="15">
        <v>3</v>
      </c>
      <c r="H147" s="25">
        <v>8.5500000000000007</v>
      </c>
      <c r="I147" s="25">
        <f>(ações2[[#This Row],[PREÇO]]*ações2[[#This Row],[QNTD]])</f>
        <v>25.650000000000002</v>
      </c>
      <c r="J147" s="25">
        <v>0</v>
      </c>
      <c r="L147" s="33" t="s">
        <v>62</v>
      </c>
      <c r="M147" s="34">
        <v>101.19400000000003</v>
      </c>
      <c r="N147" s="34">
        <v>-586.79</v>
      </c>
      <c r="O147" s="34">
        <v>11902.34</v>
      </c>
      <c r="P147" s="34">
        <v>9366</v>
      </c>
    </row>
    <row r="148" spans="2:23" x14ac:dyDescent="0.25">
      <c r="B148" s="17">
        <v>43963</v>
      </c>
      <c r="C148" s="16" t="s">
        <v>64</v>
      </c>
      <c r="D148" s="17" t="s">
        <v>8</v>
      </c>
      <c r="E148" s="15" t="s">
        <v>43</v>
      </c>
      <c r="F148" s="15" t="s">
        <v>68</v>
      </c>
      <c r="G148" s="15">
        <v>2</v>
      </c>
      <c r="H148" s="25">
        <v>8.25</v>
      </c>
      <c r="I148" s="25">
        <f>(ações2[[#This Row],[PREÇO]]*ações2[[#This Row],[QNTD]])</f>
        <v>16.5</v>
      </c>
      <c r="J148" s="25">
        <v>0</v>
      </c>
      <c r="L148" s="33"/>
      <c r="M148" s="34"/>
      <c r="N148" s="34"/>
      <c r="O148" s="34"/>
      <c r="P148" s="34"/>
    </row>
    <row r="149" spans="2:23" x14ac:dyDescent="0.25">
      <c r="B149" s="17">
        <v>43963</v>
      </c>
      <c r="C149" s="16" t="s">
        <v>64</v>
      </c>
      <c r="D149" s="17" t="s">
        <v>8</v>
      </c>
      <c r="E149" s="15" t="s">
        <v>3</v>
      </c>
      <c r="F149" s="15" t="s">
        <v>68</v>
      </c>
      <c r="G149" s="15">
        <v>3</v>
      </c>
      <c r="H149" s="25">
        <v>8.3000000000000007</v>
      </c>
      <c r="I149" s="25">
        <f>(ações2[[#This Row],[PREÇO]]*ações2[[#This Row],[QNTD]])</f>
        <v>24.900000000000002</v>
      </c>
      <c r="J149" s="25">
        <v>0</v>
      </c>
      <c r="W149" s="34"/>
    </row>
    <row r="150" spans="2:23" x14ac:dyDescent="0.25">
      <c r="B150" s="17">
        <v>43963</v>
      </c>
      <c r="C150" s="16" t="s">
        <v>64</v>
      </c>
      <c r="D150" s="17" t="s">
        <v>8</v>
      </c>
      <c r="E150" s="15" t="s">
        <v>3</v>
      </c>
      <c r="F150" s="15" t="s">
        <v>68</v>
      </c>
      <c r="G150" s="15">
        <v>3</v>
      </c>
      <c r="H150" s="25">
        <v>8.1999999999999993</v>
      </c>
      <c r="I150" s="25">
        <f>(ações2[[#This Row],[PREÇO]]*ações2[[#This Row],[QNTD]])</f>
        <v>24.599999999999998</v>
      </c>
      <c r="J150" s="25">
        <v>0</v>
      </c>
    </row>
    <row r="151" spans="2:23" x14ac:dyDescent="0.25">
      <c r="B151" s="17">
        <v>43970</v>
      </c>
      <c r="C151" s="17" t="s">
        <v>64</v>
      </c>
      <c r="D151" s="17" t="s">
        <v>8</v>
      </c>
      <c r="E151" s="18" t="s">
        <v>0</v>
      </c>
      <c r="F151" s="18" t="s">
        <v>68</v>
      </c>
      <c r="G151" s="18">
        <v>-14</v>
      </c>
      <c r="H151" s="28">
        <v>8.86</v>
      </c>
      <c r="I151" s="28">
        <f>(ações2[[#This Row],[PREÇO]]*ações2[[#This Row],[QNTD]])</f>
        <v>-124.03999999999999</v>
      </c>
      <c r="J151" s="28">
        <v>0.03</v>
      </c>
    </row>
    <row r="152" spans="2:23" x14ac:dyDescent="0.25">
      <c r="B152" s="17">
        <v>43972</v>
      </c>
      <c r="C152" s="17" t="s">
        <v>64</v>
      </c>
      <c r="D152" s="17" t="s">
        <v>8</v>
      </c>
      <c r="E152" s="18" t="s">
        <v>81</v>
      </c>
      <c r="F152" s="18" t="s">
        <v>68</v>
      </c>
      <c r="G152" s="18">
        <v>3</v>
      </c>
      <c r="H152" s="28">
        <v>18.95</v>
      </c>
      <c r="I152" s="28">
        <f>(ações2[[#This Row],[PREÇO]]*ações2[[#This Row],[QNTD]])</f>
        <v>56.849999999999994</v>
      </c>
      <c r="J152" s="28">
        <v>0.01</v>
      </c>
    </row>
    <row r="153" spans="2:23" x14ac:dyDescent="0.25">
      <c r="B153" s="17">
        <v>43973</v>
      </c>
      <c r="C153" s="17" t="s">
        <v>64</v>
      </c>
      <c r="D153" s="17" t="s">
        <v>8</v>
      </c>
      <c r="E153" s="18" t="s">
        <v>81</v>
      </c>
      <c r="F153" s="18" t="s">
        <v>68</v>
      </c>
      <c r="G153" s="18">
        <v>1</v>
      </c>
      <c r="H153" s="28">
        <v>19.100000000000001</v>
      </c>
      <c r="I153" s="28">
        <f>(ações2[[#This Row],[PREÇO]]*ações2[[#This Row],[QNTD]])</f>
        <v>19.100000000000001</v>
      </c>
      <c r="J153" s="28">
        <v>0</v>
      </c>
    </row>
    <row r="154" spans="2:23" x14ac:dyDescent="0.25">
      <c r="B154" s="17">
        <v>43977</v>
      </c>
      <c r="C154" s="17" t="s">
        <v>64</v>
      </c>
      <c r="D154" s="17" t="s">
        <v>8</v>
      </c>
      <c r="E154" s="18" t="s">
        <v>1</v>
      </c>
      <c r="F154" s="18" t="s">
        <v>68</v>
      </c>
      <c r="G154" s="18">
        <v>5</v>
      </c>
      <c r="H154" s="28">
        <v>16.850000000000001</v>
      </c>
      <c r="I154" s="28">
        <f>(ações2[[#This Row],[PREÇO]]*ações2[[#This Row],[QNTD]])</f>
        <v>84.25</v>
      </c>
      <c r="J154" s="28">
        <v>0.22</v>
      </c>
      <c r="K154">
        <v>1</v>
      </c>
    </row>
    <row r="155" spans="2:23" x14ac:dyDescent="0.25">
      <c r="B155" s="17">
        <v>43977</v>
      </c>
      <c r="C155" s="17" t="s">
        <v>64</v>
      </c>
      <c r="D155" s="16" t="s">
        <v>40</v>
      </c>
      <c r="E155" s="18" t="s">
        <v>82</v>
      </c>
      <c r="F155" s="18" t="s">
        <v>68</v>
      </c>
      <c r="G155" s="18">
        <v>5</v>
      </c>
      <c r="H155" s="28">
        <v>107.8</v>
      </c>
      <c r="I155" s="28">
        <f>(ações2[[#This Row],[PREÇO]]*ações2[[#This Row],[QNTD]])</f>
        <v>539</v>
      </c>
      <c r="J155" s="28">
        <v>0</v>
      </c>
    </row>
    <row r="156" spans="2:23" x14ac:dyDescent="0.25">
      <c r="B156" s="17">
        <v>43977</v>
      </c>
      <c r="C156" s="17" t="s">
        <v>64</v>
      </c>
      <c r="D156" s="17" t="s">
        <v>8</v>
      </c>
      <c r="E156" s="18" t="s">
        <v>38</v>
      </c>
      <c r="F156" s="18" t="s">
        <v>68</v>
      </c>
      <c r="G156" s="18">
        <v>6</v>
      </c>
      <c r="H156" s="28">
        <v>4.9000000000000004</v>
      </c>
      <c r="I156" s="28">
        <f>(ações2[[#This Row],[PREÇO]]*ações2[[#This Row],[QNTD]])</f>
        <v>29.400000000000002</v>
      </c>
      <c r="J156" s="28">
        <v>0</v>
      </c>
    </row>
    <row r="157" spans="2:23" x14ac:dyDescent="0.25">
      <c r="B157" s="17">
        <v>43977</v>
      </c>
      <c r="C157" s="17" t="s">
        <v>64</v>
      </c>
      <c r="D157" s="17" t="s">
        <v>8</v>
      </c>
      <c r="E157" s="18" t="s">
        <v>22</v>
      </c>
      <c r="F157" s="18" t="s">
        <v>68</v>
      </c>
      <c r="G157" s="18">
        <v>10</v>
      </c>
      <c r="H157" s="28">
        <v>8.6999999999999993</v>
      </c>
      <c r="I157" s="28">
        <f>(ações2[[#This Row],[PREÇO]]*ações2[[#This Row],[QNTD]])</f>
        <v>87</v>
      </c>
      <c r="J157" s="28">
        <v>0</v>
      </c>
    </row>
    <row r="158" spans="2:23" x14ac:dyDescent="0.25">
      <c r="B158" s="16">
        <v>43978</v>
      </c>
      <c r="C158" s="16" t="s">
        <v>64</v>
      </c>
      <c r="D158" s="16" t="s">
        <v>8</v>
      </c>
      <c r="E158" s="15" t="s">
        <v>19</v>
      </c>
      <c r="F158" s="15" t="s">
        <v>68</v>
      </c>
      <c r="G158" s="15">
        <v>-6</v>
      </c>
      <c r="H158" s="25">
        <v>9.24</v>
      </c>
      <c r="I158" s="25">
        <f>(ações2[[#This Row],[PREÇO]]*ações2[[#This Row],[QNTD]])</f>
        <v>-55.44</v>
      </c>
      <c r="J158" s="25">
        <v>0.01</v>
      </c>
    </row>
    <row r="159" spans="2:23" x14ac:dyDescent="0.25">
      <c r="B159" s="17">
        <v>43980</v>
      </c>
      <c r="C159" s="17" t="s">
        <v>64</v>
      </c>
      <c r="D159" s="17" t="s">
        <v>8</v>
      </c>
      <c r="E159" s="18" t="s">
        <v>1</v>
      </c>
      <c r="F159" s="18" t="s">
        <v>68</v>
      </c>
      <c r="G159" s="18">
        <v>2</v>
      </c>
      <c r="H159" s="28">
        <v>15</v>
      </c>
      <c r="I159" s="28">
        <f>(ações2[[#This Row],[PREÇO]]*ações2[[#This Row],[QNTD]])</f>
        <v>30</v>
      </c>
      <c r="J159" s="28">
        <v>0</v>
      </c>
    </row>
    <row r="160" spans="2:23" x14ac:dyDescent="0.25">
      <c r="B160" s="17">
        <v>43985</v>
      </c>
      <c r="C160" s="17" t="s">
        <v>64</v>
      </c>
      <c r="D160" s="17" t="s">
        <v>8</v>
      </c>
      <c r="E160" s="18" t="s">
        <v>41</v>
      </c>
      <c r="F160" s="18" t="s">
        <v>68</v>
      </c>
      <c r="G160" s="18">
        <v>5</v>
      </c>
      <c r="H160" s="28">
        <v>5.85</v>
      </c>
      <c r="I160" s="28">
        <f>(ações2[[#This Row],[PREÇO]]*ações2[[#This Row],[QNTD]])</f>
        <v>29.25</v>
      </c>
      <c r="J160" s="28">
        <v>7.0000000000000007E-2</v>
      </c>
    </row>
    <row r="161" spans="2:23" x14ac:dyDescent="0.25">
      <c r="B161" s="17">
        <v>43985</v>
      </c>
      <c r="C161" s="17" t="s">
        <v>64</v>
      </c>
      <c r="D161" s="17" t="s">
        <v>8</v>
      </c>
      <c r="E161" s="18" t="s">
        <v>24</v>
      </c>
      <c r="F161" s="18" t="s">
        <v>68</v>
      </c>
      <c r="G161" s="18">
        <v>10</v>
      </c>
      <c r="H161" s="28">
        <v>5.55</v>
      </c>
      <c r="I161" s="28">
        <f>(ações2[[#This Row],[PREÇO]]*ações2[[#This Row],[QNTD]])</f>
        <v>55.5</v>
      </c>
      <c r="J161" s="28">
        <v>0</v>
      </c>
    </row>
    <row r="162" spans="2:23" x14ac:dyDescent="0.25">
      <c r="B162" s="17">
        <v>43985</v>
      </c>
      <c r="C162" s="17" t="s">
        <v>64</v>
      </c>
      <c r="D162" s="17" t="s">
        <v>8</v>
      </c>
      <c r="E162" s="18" t="s">
        <v>38</v>
      </c>
      <c r="F162" s="18" t="s">
        <v>68</v>
      </c>
      <c r="G162" s="18">
        <v>5</v>
      </c>
      <c r="H162" s="28">
        <v>7.1</v>
      </c>
      <c r="I162" s="28">
        <f>(ações2[[#This Row],[PREÇO]]*ações2[[#This Row],[QNTD]])</f>
        <v>35.5</v>
      </c>
      <c r="J162" s="28">
        <v>0</v>
      </c>
    </row>
    <row r="163" spans="2:23" x14ac:dyDescent="0.25">
      <c r="B163" s="17">
        <v>43985</v>
      </c>
      <c r="C163" s="17" t="s">
        <v>64</v>
      </c>
      <c r="D163" s="17" t="s">
        <v>8</v>
      </c>
      <c r="E163" s="18" t="s">
        <v>22</v>
      </c>
      <c r="F163" s="18" t="s">
        <v>68</v>
      </c>
      <c r="G163" s="18">
        <v>5</v>
      </c>
      <c r="H163" s="28">
        <v>10.97</v>
      </c>
      <c r="I163" s="28">
        <f>(ações2[[#This Row],[PREÇO]]*ações2[[#This Row],[QNTD]])</f>
        <v>54.85</v>
      </c>
      <c r="J163" s="28">
        <v>0</v>
      </c>
    </row>
    <row r="164" spans="2:23" x14ac:dyDescent="0.25">
      <c r="B164" s="17">
        <v>43985</v>
      </c>
      <c r="C164" s="17" t="s">
        <v>64</v>
      </c>
      <c r="D164" s="17" t="s">
        <v>8</v>
      </c>
      <c r="E164" s="18" t="s">
        <v>81</v>
      </c>
      <c r="F164" s="18" t="s">
        <v>68</v>
      </c>
      <c r="G164" s="18">
        <v>1</v>
      </c>
      <c r="H164" s="28">
        <v>19.45</v>
      </c>
      <c r="I164" s="28">
        <f>(ações2[[#This Row],[PREÇO]]*ações2[[#This Row],[QNTD]])</f>
        <v>19.45</v>
      </c>
      <c r="J164" s="28">
        <v>0</v>
      </c>
    </row>
    <row r="165" spans="2:23" x14ac:dyDescent="0.25">
      <c r="B165" s="17">
        <v>43985</v>
      </c>
      <c r="C165" s="17" t="s">
        <v>64</v>
      </c>
      <c r="D165" s="17" t="s">
        <v>8</v>
      </c>
      <c r="E165" s="18" t="s">
        <v>41</v>
      </c>
      <c r="F165" s="18" t="s">
        <v>68</v>
      </c>
      <c r="G165" s="18">
        <v>5</v>
      </c>
      <c r="H165" s="28">
        <v>5.7</v>
      </c>
      <c r="I165" s="28">
        <f>(ações2[[#This Row],[PREÇO]]*ações2[[#This Row],[QNTD]])</f>
        <v>28.5</v>
      </c>
      <c r="J165" s="28">
        <v>0</v>
      </c>
      <c r="L165" s="39" t="s">
        <v>8</v>
      </c>
      <c r="M165" s="39" t="s">
        <v>9</v>
      </c>
      <c r="N165" s="40" t="s">
        <v>70</v>
      </c>
      <c r="O165" s="40" t="s">
        <v>23</v>
      </c>
      <c r="P165" s="41" t="s">
        <v>71</v>
      </c>
      <c r="Q165" s="42" t="s">
        <v>72</v>
      </c>
      <c r="R165" s="43" t="s">
        <v>73</v>
      </c>
      <c r="S165" s="40" t="s">
        <v>80</v>
      </c>
    </row>
    <row r="166" spans="2:23" x14ac:dyDescent="0.25">
      <c r="B166" s="17">
        <v>43985</v>
      </c>
      <c r="C166" s="17" t="s">
        <v>64</v>
      </c>
      <c r="D166" s="17" t="s">
        <v>8</v>
      </c>
      <c r="E166" s="18" t="s">
        <v>38</v>
      </c>
      <c r="F166" s="18" t="s">
        <v>68</v>
      </c>
      <c r="G166" s="18">
        <v>5</v>
      </c>
      <c r="H166" s="28">
        <v>6.95</v>
      </c>
      <c r="I166" s="28">
        <f>(ações2[[#This Row],[PREÇO]]*ações2[[#This Row],[QNTD]])</f>
        <v>34.75</v>
      </c>
      <c r="J166" s="28">
        <v>0</v>
      </c>
      <c r="L166" s="44" t="s">
        <v>43</v>
      </c>
      <c r="M166" s="39">
        <f>SUMIFS(ações2[QNTD],ações2[AÇÃO],controle[[#This Row],[AÇÃO]],ações2[OPERAÇÃO],$F$2)</f>
        <v>6</v>
      </c>
      <c r="N166" s="3">
        <f>IFERROR(SUMIFS(ações2[VALOR],ações2[AÇÃO],controle[[#This Row],[AÇÃO]],ações2[OPERAÇÃO],Investimentos!$F$2)/SUMIFS(ações2[QNTD],ações2[AÇÃO],controle[[#This Row],[AÇÃO]],ações2[OPERAÇÃO],Investimentos!$F$2),0)</f>
        <v>8.4566666666666652</v>
      </c>
      <c r="O166" s="59">
        <f>VLOOKUP(controle[[#This Row],[AÇÃO]],Sheet8!C:G,3,FALSE)</f>
        <v>11.15</v>
      </c>
      <c r="P166" s="54">
        <f>controle[[#This Row],[P. MEDIO]]*controle[[#This Row],[QNTD]]</f>
        <v>50.739999999999995</v>
      </c>
      <c r="Q166" s="52">
        <f>controle[[#This Row],[COTAÇÃO]]*controle[[#This Row],[QNTD]]</f>
        <v>66.900000000000006</v>
      </c>
      <c r="R166" s="55">
        <f>(controle[[#This Row],[MERCADO]]-controle[[#This Row],[GASTO]])</f>
        <v>16.160000000000011</v>
      </c>
      <c r="S166" s="60">
        <f>controle[[#This Row],[MERCADO]]/controle[[#This Row],[GASTO]]-1</f>
        <v>0.31848640126133243</v>
      </c>
    </row>
    <row r="167" spans="2:23" x14ac:dyDescent="0.25">
      <c r="B167" s="17">
        <v>43985</v>
      </c>
      <c r="C167" s="17" t="s">
        <v>64</v>
      </c>
      <c r="D167" s="17" t="s">
        <v>8</v>
      </c>
      <c r="E167" s="18" t="s">
        <v>41</v>
      </c>
      <c r="F167" s="18" t="s">
        <v>68</v>
      </c>
      <c r="G167" s="18">
        <v>5</v>
      </c>
      <c r="H167" s="28">
        <v>5.75</v>
      </c>
      <c r="I167" s="28">
        <f>(ações2[[#This Row],[PREÇO]]*ações2[[#This Row],[QNTD]])</f>
        <v>28.75</v>
      </c>
      <c r="J167" s="28">
        <v>0</v>
      </c>
      <c r="L167" s="44" t="s">
        <v>22</v>
      </c>
      <c r="M167" s="39">
        <f>SUMIFS(ações2[QNTD],ações2[AÇÃO],controle[[#This Row],[AÇÃO]],ações2[OPERAÇÃO],$F$2)</f>
        <v>31</v>
      </c>
      <c r="N167" s="3">
        <f>IFERROR(SUMIFS(ações2[VALOR],ações2[AÇÃO],controle[[#This Row],[AÇÃO]],ações2[OPERAÇÃO],Investimentos!$F$2)/SUMIFS(ações2[QNTD],ações2[AÇÃO],controle[[#This Row],[AÇÃO]],ações2[OPERAÇÃO],Investimentos!$F$2),0)</f>
        <v>8.122580645161289</v>
      </c>
      <c r="O167" s="59">
        <v>10.75</v>
      </c>
      <c r="P167" s="52">
        <f>controle[[#This Row],[P. MEDIO]]*controle[[#This Row],[QNTD]]</f>
        <v>251.79999999999995</v>
      </c>
      <c r="Q167" s="52">
        <f>controle[[#This Row],[COTAÇÃO]]*controle[[#This Row],[QNTD]]</f>
        <v>333.25</v>
      </c>
      <c r="R167" s="53">
        <f>(controle[[#This Row],[MERCADO]]-controle[[#This Row],[GASTO]])</f>
        <v>81.450000000000045</v>
      </c>
      <c r="S167" s="60">
        <f>controle[[#This Row],[MERCADO]]/controle[[#This Row],[GASTO]]-1</f>
        <v>0.32347100873709311</v>
      </c>
      <c r="U167" s="81"/>
      <c r="V167" s="81"/>
    </row>
    <row r="168" spans="2:23" x14ac:dyDescent="0.25">
      <c r="B168" s="17">
        <v>43987</v>
      </c>
      <c r="C168" s="17" t="s">
        <v>64</v>
      </c>
      <c r="D168" s="17" t="s">
        <v>8</v>
      </c>
      <c r="E168" s="18" t="s">
        <v>38</v>
      </c>
      <c r="F168" s="18" t="s">
        <v>68</v>
      </c>
      <c r="G168" s="18">
        <v>5</v>
      </c>
      <c r="H168" s="28">
        <v>6.9</v>
      </c>
      <c r="I168" s="28">
        <f>(ações2[[#This Row],[PREÇO]]*ações2[[#This Row],[QNTD]])</f>
        <v>34.5</v>
      </c>
      <c r="J168" s="28">
        <v>0</v>
      </c>
      <c r="L168" s="71" t="s">
        <v>89</v>
      </c>
      <c r="M168" s="72">
        <f>SUMIFS(ações2[QNTD],ações2[AÇÃO],controle[[#This Row],[AÇÃO]],ações2[OPERAÇÃO],$F$2)</f>
        <v>12</v>
      </c>
      <c r="N168" s="73">
        <f>IFERROR(SUMIFS(ações2[VALOR],ações2[AÇÃO],controle[[#This Row],[AÇÃO]],ações2[OPERAÇÃO],Investimentos!$F$2)/SUMIFS(ações2[QNTD],ações2[AÇÃO],controle[[#This Row],[AÇÃO]],ações2[OPERAÇÃO],Investimentos!$F$2),0)</f>
        <v>8.3166666666666682</v>
      </c>
      <c r="O168" s="59">
        <v>8.23</v>
      </c>
      <c r="P168" s="74">
        <f>controle[[#This Row],[P. MEDIO]]*controle[[#This Row],[QNTD]]</f>
        <v>99.800000000000011</v>
      </c>
      <c r="Q168" s="75">
        <f>controle[[#This Row],[COTAÇÃO]]*controle[[#This Row],[QNTD]]</f>
        <v>98.76</v>
      </c>
      <c r="R168" s="76">
        <f>(controle[[#This Row],[MERCADO]]-controle[[#This Row],[GASTO]])</f>
        <v>-1.0400000000000063</v>
      </c>
      <c r="S168" s="60">
        <f>controle[[#This Row],[MERCADO]]/controle[[#This Row],[GASTO]]-1</f>
        <v>-1.0420841683366766E-2</v>
      </c>
      <c r="U168" s="81"/>
      <c r="V168" s="81"/>
    </row>
    <row r="169" spans="2:23" x14ac:dyDescent="0.25">
      <c r="B169" s="17">
        <v>46152</v>
      </c>
      <c r="C169" s="16" t="s">
        <v>64</v>
      </c>
      <c r="D169" s="17" t="s">
        <v>8</v>
      </c>
      <c r="E169" s="18" t="s">
        <v>88</v>
      </c>
      <c r="F169" s="18" t="s">
        <v>68</v>
      </c>
      <c r="G169" s="18">
        <v>3</v>
      </c>
      <c r="H169" s="28">
        <v>5.7</v>
      </c>
      <c r="I169" s="28">
        <f>(ações2[[#This Row],[PREÇO]]*ações2[[#This Row],[QNTD]])</f>
        <v>17.100000000000001</v>
      </c>
      <c r="J169" s="28">
        <v>0.01</v>
      </c>
      <c r="L169" s="45" t="s">
        <v>82</v>
      </c>
      <c r="M169" s="46">
        <f>SUMIFS(ações2[QNTD],ações2[AÇÃO],controle[[#This Row],[AÇÃO]],ações2[OPERAÇÃO],$F$2)</f>
        <v>10</v>
      </c>
      <c r="N169" s="47">
        <f>IFERROR(SUMIFS(ações2[VALOR],ações2[AÇÃO],controle[[#This Row],[AÇÃO]],ações2[OPERAÇÃO],Investimentos!$F$2)/SUMIFS(ações2[QNTD],ações2[AÇÃO],controle[[#This Row],[AÇÃO]],ações2[OPERAÇÃO],Investimentos!$F$2),0)</f>
        <v>108.4</v>
      </c>
      <c r="O169" s="59">
        <v>114.9</v>
      </c>
      <c r="P169" s="56">
        <f>controle[[#This Row],[P. MEDIO]]*controle[[#This Row],[QNTD]]</f>
        <v>1084</v>
      </c>
      <c r="Q169" s="57">
        <f>controle[[#This Row],[COTAÇÃO]]*controle[[#This Row],[QNTD]]</f>
        <v>1149</v>
      </c>
      <c r="R169" s="58">
        <f>(controle[[#This Row],[MERCADO]]-controle[[#This Row],[GASTO]])</f>
        <v>65</v>
      </c>
      <c r="S169" s="61">
        <f>controle[[#This Row],[MERCADO]]/controle[[#This Row],[GASTO]]-1</f>
        <v>5.996309963099633E-2</v>
      </c>
      <c r="U169" s="81"/>
      <c r="V169" s="81"/>
    </row>
    <row r="170" spans="2:23" x14ac:dyDescent="0.25">
      <c r="B170" s="17">
        <v>46152</v>
      </c>
      <c r="C170" s="16" t="s">
        <v>64</v>
      </c>
      <c r="D170" s="17" t="s">
        <v>8</v>
      </c>
      <c r="E170" s="18" t="s">
        <v>88</v>
      </c>
      <c r="F170" s="18" t="s">
        <v>68</v>
      </c>
      <c r="G170" s="18">
        <v>10</v>
      </c>
      <c r="H170" s="28">
        <v>5.4</v>
      </c>
      <c r="I170" s="28">
        <f>(ações2[[#This Row],[PREÇO]]*ações2[[#This Row],[QNTD]])</f>
        <v>54</v>
      </c>
      <c r="J170" s="28">
        <v>0</v>
      </c>
      <c r="L170" s="44" t="s">
        <v>2</v>
      </c>
      <c r="M170" s="39">
        <f>SUMIFS(ações2[QNTD],ações2[AÇÃO],controle[[#This Row],[AÇÃO]],ações2[OPERAÇÃO],$F$2)</f>
        <v>45</v>
      </c>
      <c r="N170" s="3">
        <f>IFERROR(SUMIFS(ações2[VALOR],ações2[AÇÃO],controle[[#This Row],[AÇÃO]],ações2[OPERAÇÃO],Investimentos!$F$2)/SUMIFS(ações2[QNTD],ações2[AÇÃO],controle[[#This Row],[AÇÃO]],ações2[OPERAÇÃO],Investimentos!$F$2),0)</f>
        <v>10.557777777777778</v>
      </c>
      <c r="O170" s="59">
        <v>9.66</v>
      </c>
      <c r="P170" s="52">
        <f>controle[[#This Row],[P. MEDIO]]*controle[[#This Row],[QNTD]]</f>
        <v>475.1</v>
      </c>
      <c r="Q170" s="52">
        <f>controle[[#This Row],[COTAÇÃO]]*controle[[#This Row],[QNTD]]</f>
        <v>434.7</v>
      </c>
      <c r="R170" s="53">
        <f>(controle[[#This Row],[MERCADO]]-controle[[#This Row],[GASTO]])</f>
        <v>-40.400000000000034</v>
      </c>
      <c r="S170" s="60">
        <f>controle[[#This Row],[MERCADO]]/controle[[#This Row],[GASTO]]-1</f>
        <v>-8.5034729530625186E-2</v>
      </c>
      <c r="U170" s="81"/>
      <c r="V170" s="81"/>
    </row>
    <row r="171" spans="2:23" x14ac:dyDescent="0.25">
      <c r="B171" s="67">
        <v>43997</v>
      </c>
      <c r="C171" s="16" t="s">
        <v>64</v>
      </c>
      <c r="D171" s="16" t="s">
        <v>40</v>
      </c>
      <c r="E171" s="68" t="s">
        <v>82</v>
      </c>
      <c r="F171" s="68" t="s">
        <v>68</v>
      </c>
      <c r="G171" s="68">
        <v>5</v>
      </c>
      <c r="H171" s="69">
        <v>109</v>
      </c>
      <c r="I171" s="69">
        <f>(ações2[[#This Row],[PREÇO]]*ações2[[#This Row],[QNTD]])</f>
        <v>545</v>
      </c>
      <c r="J171" s="69">
        <v>0.15</v>
      </c>
      <c r="L171" s="44" t="s">
        <v>3</v>
      </c>
      <c r="M171" s="39">
        <f>SUMIFS(ações2[QNTD],ações2[AÇÃO],controle[[#This Row],[AÇÃO]],ações2[OPERAÇÃO],$F$2)</f>
        <v>75</v>
      </c>
      <c r="N171" s="3">
        <f>IFERROR(SUMIFS(ações2[VALOR],ações2[AÇÃO],controle[[#This Row],[AÇÃO]],ações2[OPERAÇÃO],Investimentos!$F$2)/SUMIFS(ações2[QNTD],ações2[AÇÃO],controle[[#This Row],[AÇÃO]],ações2[OPERAÇÃO],Investimentos!$F$2),0)</f>
        <v>8.5856000000000012</v>
      </c>
      <c r="O171" s="59">
        <f>VLOOKUP(controle[[#This Row],[AÇÃO]],Sheet8!C:G,3,FALSE)</f>
        <v>9.98</v>
      </c>
      <c r="P171" s="52">
        <f>controle[[#This Row],[P. MEDIO]]*controle[[#This Row],[QNTD]]</f>
        <v>643.92000000000007</v>
      </c>
      <c r="Q171" s="52">
        <f>controle[[#This Row],[COTAÇÃO]]*controle[[#This Row],[QNTD]]</f>
        <v>748.5</v>
      </c>
      <c r="R171" s="53">
        <f>(controle[[#This Row],[MERCADO]]-controle[[#This Row],[GASTO]])</f>
        <v>104.57999999999993</v>
      </c>
      <c r="S171" s="60">
        <f>controle[[#This Row],[MERCADO]]/controle[[#This Row],[GASTO]]-1</f>
        <v>0.1624114796869176</v>
      </c>
      <c r="U171" s="81"/>
      <c r="V171" s="81"/>
    </row>
    <row r="172" spans="2:23" x14ac:dyDescent="0.25">
      <c r="B172" s="67">
        <v>43997</v>
      </c>
      <c r="C172" s="16" t="s">
        <v>64</v>
      </c>
      <c r="D172" s="16" t="s">
        <v>8</v>
      </c>
      <c r="E172" s="68" t="s">
        <v>88</v>
      </c>
      <c r="F172" s="68" t="s">
        <v>68</v>
      </c>
      <c r="G172" s="68">
        <v>3</v>
      </c>
      <c r="H172" s="69">
        <v>5.2</v>
      </c>
      <c r="I172" s="69">
        <f>(ações2[[#This Row],[PREÇO]]*ações2[[#This Row],[QNTD]])</f>
        <v>15.600000000000001</v>
      </c>
      <c r="J172" s="69">
        <v>0.01</v>
      </c>
      <c r="L172" s="44" t="s">
        <v>20</v>
      </c>
      <c r="M172" s="39">
        <f>SUMIFS(ações2[QNTD],ações2[AÇÃO],controle[[#This Row],[AÇÃO]],ações2[OPERAÇÃO],$F$2)</f>
        <v>9</v>
      </c>
      <c r="N172" s="3">
        <f>IFERROR(SUMIFS(ações2[VALOR],ações2[AÇÃO],controle[[#This Row],[AÇÃO]],ações2[OPERAÇÃO],Investimentos!$F$2)/SUMIFS(ações2[QNTD],ações2[AÇÃO],controle[[#This Row],[AÇÃO]],ações2[OPERAÇÃO],Investimentos!$F$2),0)</f>
        <v>21.573333333333338</v>
      </c>
      <c r="O172" s="59">
        <v>26.54</v>
      </c>
      <c r="P172" s="52">
        <f>controle[[#This Row],[P. MEDIO]]*controle[[#This Row],[QNTD]]</f>
        <v>194.16000000000003</v>
      </c>
      <c r="Q172" s="52">
        <f>controle[[#This Row],[COTAÇÃO]]*controle[[#This Row],[QNTD]]</f>
        <v>238.85999999999999</v>
      </c>
      <c r="R172" s="53">
        <f>(controle[[#This Row],[MERCADO]]-controle[[#This Row],[GASTO]])</f>
        <v>44.69999999999996</v>
      </c>
      <c r="S172" s="60">
        <f>controle[[#This Row],[MERCADO]]/controle[[#This Row],[GASTO]]-1</f>
        <v>0.23022249690976482</v>
      </c>
      <c r="U172" s="81"/>
      <c r="V172" s="81"/>
    </row>
    <row r="173" spans="2:23" x14ac:dyDescent="0.25">
      <c r="B173" s="67">
        <v>43997</v>
      </c>
      <c r="C173" s="16" t="s">
        <v>64</v>
      </c>
      <c r="D173" s="16" t="s">
        <v>8</v>
      </c>
      <c r="E173" s="68" t="s">
        <v>88</v>
      </c>
      <c r="F173" s="68" t="s">
        <v>68</v>
      </c>
      <c r="G173" s="68">
        <v>2</v>
      </c>
      <c r="H173" s="69">
        <v>5.15</v>
      </c>
      <c r="I173" s="69">
        <f>(ações2[[#This Row],[PREÇO]]*ações2[[#This Row],[QNTD]])</f>
        <v>10.3</v>
      </c>
      <c r="J173" s="69">
        <v>0</v>
      </c>
      <c r="L173" s="44" t="s">
        <v>24</v>
      </c>
      <c r="M173" s="39">
        <f>SUMIFS(ações2[QNTD],ações2[AÇÃO],controle[[#This Row],[AÇÃO]],ações2[OPERAÇÃO],$F$2)</f>
        <v>66</v>
      </c>
      <c r="N173" s="3">
        <f>IFERROR(SUMIFS(ações2[VALOR],ações2[AÇÃO],controle[[#This Row],[AÇÃO]],ações2[OPERAÇÃO],Investimentos!$F$2)/SUMIFS(ações2[QNTD],ações2[AÇÃO],controle[[#This Row],[AÇÃO]],ações2[OPERAÇÃO],Investimentos!$F$2),0)</f>
        <v>4.6066666666666665</v>
      </c>
      <c r="O173" s="59">
        <v>9.02</v>
      </c>
      <c r="P173" s="54">
        <f>controle[[#This Row],[P. MEDIO]]*controle[[#This Row],[QNTD]]</f>
        <v>304.03999999999996</v>
      </c>
      <c r="Q173" s="52">
        <f>controle[[#This Row],[COTAÇÃO]]*controle[[#This Row],[QNTD]]</f>
        <v>595.31999999999994</v>
      </c>
      <c r="R173" s="53">
        <f>(controle[[#This Row],[MERCADO]]-controle[[#This Row],[GASTO]])</f>
        <v>291.27999999999997</v>
      </c>
      <c r="S173" s="60">
        <f>controle[[#This Row],[MERCADO]]/controle[[#This Row],[GASTO]]-1</f>
        <v>0.95803183791606372</v>
      </c>
      <c r="U173" s="81"/>
      <c r="V173" s="81"/>
    </row>
    <row r="174" spans="2:23" x14ac:dyDescent="0.25">
      <c r="B174" s="16">
        <v>43998</v>
      </c>
      <c r="C174" s="16" t="s">
        <v>64</v>
      </c>
      <c r="D174" s="16" t="s">
        <v>8</v>
      </c>
      <c r="E174" s="15" t="s">
        <v>88</v>
      </c>
      <c r="F174" s="15" t="s">
        <v>68</v>
      </c>
      <c r="G174" s="15">
        <v>2</v>
      </c>
      <c r="H174" s="25">
        <v>5.4</v>
      </c>
      <c r="I174" s="25">
        <f>(ações2[[#This Row],[PREÇO]]*ações2[[#This Row],[QNTD]])</f>
        <v>10.8</v>
      </c>
      <c r="J174" s="25">
        <v>0</v>
      </c>
      <c r="L174" s="45" t="s">
        <v>81</v>
      </c>
      <c r="M174" s="46">
        <f>SUMIFS(ações2[QNTD],ações2[AÇÃO],controle[[#This Row],[AÇÃO]],ações2[OPERAÇÃO],$F$2)</f>
        <v>5</v>
      </c>
      <c r="N174" s="47">
        <f>IFERROR(SUMIFS(ações2[VALOR],ações2[AÇÃO],controle[[#This Row],[AÇÃO]],ações2[OPERAÇÃO],Investimentos!$F$2)/SUMIFS(ações2[QNTD],ações2[AÇÃO],controle[[#This Row],[AÇÃO]],ações2[OPERAÇÃO],Investimentos!$F$2),0)</f>
        <v>19.079999999999998</v>
      </c>
      <c r="O174" s="59">
        <v>20.89</v>
      </c>
      <c r="P174" s="56">
        <f>controle[[#This Row],[P. MEDIO]]*controle[[#This Row],[QNTD]]</f>
        <v>95.399999999999991</v>
      </c>
      <c r="Q174" s="57">
        <f>controle[[#This Row],[COTAÇÃO]]*controle[[#This Row],[QNTD]]</f>
        <v>104.45</v>
      </c>
      <c r="R174" s="58">
        <f>(controle[[#This Row],[MERCADO]]-controle[[#This Row],[GASTO]])</f>
        <v>9.0500000000000114</v>
      </c>
      <c r="S174" s="61">
        <f>controle[[#This Row],[MERCADO]]/controle[[#This Row],[GASTO]]-1</f>
        <v>9.4863731656184669E-2</v>
      </c>
      <c r="U174" s="81"/>
      <c r="V174" s="81"/>
    </row>
    <row r="175" spans="2:23" x14ac:dyDescent="0.25">
      <c r="B175" s="67">
        <v>44004</v>
      </c>
      <c r="C175" s="16" t="s">
        <v>64</v>
      </c>
      <c r="D175" s="67" t="s">
        <v>8</v>
      </c>
      <c r="E175" s="68" t="s">
        <v>41</v>
      </c>
      <c r="F175" s="68" t="s">
        <v>68</v>
      </c>
      <c r="G175" s="68">
        <v>5</v>
      </c>
      <c r="H175" s="69">
        <v>6.65</v>
      </c>
      <c r="I175" s="25">
        <f>(ações2[[#This Row],[PREÇO]]*ações2[[#This Row],[QNTD]])</f>
        <v>33.25</v>
      </c>
      <c r="J175" s="69">
        <v>0.05</v>
      </c>
      <c r="L175" s="44" t="s">
        <v>1</v>
      </c>
      <c r="M175" s="39">
        <f>SUMIFS(ações2[QNTD],ações2[AÇÃO],controle[[#This Row],[AÇÃO]],ações2[OPERAÇÃO],$F$2)</f>
        <v>12</v>
      </c>
      <c r="N175" s="3">
        <f>IFERROR(SUMIFS(ações2[VALOR],ações2[AÇÃO],controle[[#This Row],[AÇÃO]],ações2[OPERAÇÃO],Investimentos!$F$2)/SUMIFS(ações2[QNTD],ações2[AÇÃO],controle[[#This Row],[AÇÃO]],ações2[OPERAÇÃO],Investimentos!$F$2),0)</f>
        <v>14.49</v>
      </c>
      <c r="O175" s="59">
        <v>19.260000000000002</v>
      </c>
      <c r="P175" s="52">
        <f>controle[[#This Row],[P. MEDIO]]*controle[[#This Row],[QNTD]]</f>
        <v>173.88</v>
      </c>
      <c r="Q175" s="52">
        <f>controle[[#This Row],[COTAÇÃO]]*controle[[#This Row],[QNTD]]</f>
        <v>231.12</v>
      </c>
      <c r="R175" s="53">
        <f>(controle[[#This Row],[MERCADO]]-controle[[#This Row],[GASTO]])</f>
        <v>57.240000000000009</v>
      </c>
      <c r="S175" s="60">
        <f>controle[[#This Row],[MERCADO]]/controle[[#This Row],[GASTO]]-1</f>
        <v>0.329192546583851</v>
      </c>
      <c r="U175" s="81"/>
      <c r="V175" s="81"/>
    </row>
    <row r="176" spans="2:23" x14ac:dyDescent="0.25">
      <c r="B176" s="67">
        <v>44004</v>
      </c>
      <c r="C176" s="16" t="s">
        <v>64</v>
      </c>
      <c r="D176" s="67" t="s">
        <v>8</v>
      </c>
      <c r="E176" s="68" t="s">
        <v>88</v>
      </c>
      <c r="F176" s="68" t="s">
        <v>68</v>
      </c>
      <c r="G176" s="68">
        <v>2</v>
      </c>
      <c r="H176" s="69">
        <v>5.78</v>
      </c>
      <c r="I176" s="69">
        <f>(ações2[[#This Row],[PREÇO]]*ações2[[#This Row],[QNTD]])</f>
        <v>11.56</v>
      </c>
      <c r="J176" s="69">
        <v>0</v>
      </c>
      <c r="L176" s="45" t="s">
        <v>33</v>
      </c>
      <c r="M176" s="39">
        <f>SUMIFS(ações2[QNTD],ações2[AÇÃO],controle[[#This Row],[AÇÃO]],ações2[OPERAÇÃO],$F$2)</f>
        <v>100</v>
      </c>
      <c r="N176" s="47">
        <f>IFERROR(SUMIFS(ações2[VALOR],ações2[AÇÃO],controle[[#This Row],[AÇÃO]],ações2[OPERAÇÃO],Investimentos!$F$2)/SUMIFS(ações2[QNTD],ações2[AÇÃO],controle[[#This Row],[AÇÃO]],ações2[OPERAÇÃO],Investimentos!$F$2),0)</f>
        <v>9.9765000000000015</v>
      </c>
      <c r="O176" s="59">
        <f>VLOOKUP(controle[[#This Row],[AÇÃO]],Sheet8!C:G,3,FALSE)</f>
        <v>10.98</v>
      </c>
      <c r="P176" s="56">
        <f>controle[[#This Row],[P. MEDIO]]*controle[[#This Row],[QNTD]]</f>
        <v>997.65000000000009</v>
      </c>
      <c r="Q176" s="57">
        <f>controle[[#This Row],[COTAÇÃO]]*controle[[#This Row],[QNTD]]</f>
        <v>1098</v>
      </c>
      <c r="R176" s="58">
        <f>(controle[[#This Row],[MERCADO]]-controle[[#This Row],[GASTO]])</f>
        <v>100.34999999999991</v>
      </c>
      <c r="S176" s="60">
        <f>controle[[#This Row],[MERCADO]]/controle[[#This Row],[GASTO]]-1</f>
        <v>0.1005863779882723</v>
      </c>
      <c r="U176" s="81"/>
      <c r="V176" s="81"/>
      <c r="W176" s="81"/>
    </row>
    <row r="177" spans="2:23" x14ac:dyDescent="0.25">
      <c r="B177" s="67">
        <v>44004</v>
      </c>
      <c r="C177" s="16" t="s">
        <v>64</v>
      </c>
      <c r="D177" s="67" t="s">
        <v>8</v>
      </c>
      <c r="E177" s="68" t="s">
        <v>89</v>
      </c>
      <c r="F177" s="68" t="s">
        <v>68</v>
      </c>
      <c r="G177" s="68">
        <v>3</v>
      </c>
      <c r="H177" s="69">
        <v>8.6999999999999993</v>
      </c>
      <c r="I177" s="69">
        <f>(ações2[[#This Row],[PREÇO]]*ações2[[#This Row],[QNTD]])</f>
        <v>26.099999999999998</v>
      </c>
      <c r="J177" s="69">
        <v>0</v>
      </c>
      <c r="L177" s="45" t="s">
        <v>39</v>
      </c>
      <c r="M177" s="39">
        <f>SUMIFS(ações2[QNTD],ações2[AÇÃO],controle[[#This Row],[AÇÃO]],ações2[OPERAÇÃO],$F$2)</f>
        <v>33</v>
      </c>
      <c r="N177" s="47">
        <f>IFERROR(SUMIFS(ações2[VALOR],ações2[AÇÃO],controle[[#This Row],[AÇÃO]],ações2[OPERAÇÃO],Investimentos!$F$2)/SUMIFS(ações2[QNTD],ações2[AÇÃO],controle[[#This Row],[AÇÃO]],ações2[OPERAÇÃO],Investimentos!$F$2),0)</f>
        <v>91.707272727272738</v>
      </c>
      <c r="O177" s="59">
        <v>101.84</v>
      </c>
      <c r="P177" s="56">
        <f>controle[[#This Row],[P. MEDIO]]*controle[[#This Row],[QNTD]]</f>
        <v>3026.34</v>
      </c>
      <c r="Q177" s="57">
        <f>controle[[#This Row],[COTAÇÃO]]*controle[[#This Row],[QNTD]]</f>
        <v>3360.7200000000003</v>
      </c>
      <c r="R177" s="58">
        <f>(controle[[#This Row],[MERCADO]]-controle[[#This Row],[GASTO]])</f>
        <v>334.38000000000011</v>
      </c>
      <c r="S177" s="60">
        <f>controle[[#This Row],[MERCADO]]/controle[[#This Row],[GASTO]]-1</f>
        <v>0.11048989868950621</v>
      </c>
      <c r="U177" s="81"/>
      <c r="V177" s="81"/>
      <c r="W177" s="81"/>
    </row>
    <row r="178" spans="2:23" x14ac:dyDescent="0.25">
      <c r="B178" s="67">
        <v>44004</v>
      </c>
      <c r="C178" s="16" t="s">
        <v>64</v>
      </c>
      <c r="D178" s="67" t="s">
        <v>8</v>
      </c>
      <c r="E178" s="68" t="s">
        <v>89</v>
      </c>
      <c r="F178" s="68" t="s">
        <v>68</v>
      </c>
      <c r="G178" s="68">
        <v>2</v>
      </c>
      <c r="H178" s="69">
        <v>8.6</v>
      </c>
      <c r="I178" s="69">
        <f>(ações2[[#This Row],[PREÇO]]*ações2[[#This Row],[QNTD]])</f>
        <v>17.2</v>
      </c>
      <c r="J178" s="69">
        <v>0</v>
      </c>
      <c r="L178" s="44" t="s">
        <v>48</v>
      </c>
      <c r="M178" s="39">
        <f>SUMIFS(ações2[QNTD],ações2[AÇÃO],controle[[#This Row],[AÇÃO]],ações2[OPERAÇÃO],$F$2)</f>
        <v>6</v>
      </c>
      <c r="N178" s="3">
        <f>IFERROR(SUMIFS(ações2[VALOR],ações2[AÇÃO],controle[[#This Row],[AÇÃO]],ações2[OPERAÇÃO],Investimentos!$F$2)/SUMIFS(ações2[QNTD],ações2[AÇÃO],controle[[#This Row],[AÇÃO]],ações2[OPERAÇÃO],Investimentos!$F$2),0)</f>
        <v>9.6466666666666665</v>
      </c>
      <c r="O178" s="59">
        <v>14.02</v>
      </c>
      <c r="P178" s="54">
        <f>controle[[#This Row],[P. MEDIO]]*controle[[#This Row],[QNTD]]</f>
        <v>57.879999999999995</v>
      </c>
      <c r="Q178" s="52">
        <f>controle[[#This Row],[COTAÇÃO]]*controle[[#This Row],[QNTD]]</f>
        <v>84.12</v>
      </c>
      <c r="R178" s="55">
        <f>(controle[[#This Row],[MERCADO]]-controle[[#This Row],[GASTO]])</f>
        <v>26.240000000000009</v>
      </c>
      <c r="S178" s="60">
        <f>controle[[#This Row],[MERCADO]]/controle[[#This Row],[GASTO]]-1</f>
        <v>0.45335176226675911</v>
      </c>
      <c r="U178" s="81"/>
      <c r="V178" s="81"/>
      <c r="W178" s="81"/>
    </row>
    <row r="179" spans="2:23" x14ac:dyDescent="0.25">
      <c r="B179" s="67">
        <v>44004</v>
      </c>
      <c r="C179" s="16" t="s">
        <v>64</v>
      </c>
      <c r="D179" s="67" t="s">
        <v>8</v>
      </c>
      <c r="E179" s="68" t="s">
        <v>24</v>
      </c>
      <c r="F179" s="68" t="s">
        <v>68</v>
      </c>
      <c r="G179" s="68">
        <v>10</v>
      </c>
      <c r="H179" s="69">
        <v>6.99</v>
      </c>
      <c r="I179" s="69">
        <f>(ações2[[#This Row],[PREÇO]]*ações2[[#This Row],[QNTD]])</f>
        <v>69.900000000000006</v>
      </c>
      <c r="J179" s="69">
        <v>0</v>
      </c>
      <c r="L179" s="44" t="s">
        <v>41</v>
      </c>
      <c r="M179" s="39">
        <f>SUMIFS(ações2[QNTD],ações2[AÇÃO],controle[[#This Row],[AÇÃO]],ações2[OPERAÇÃO],$F$2)</f>
        <v>38</v>
      </c>
      <c r="N179" s="3">
        <f>IFERROR(SUMIFS(ações2[VALOR],ações2[AÇÃO],controle[[#This Row],[AÇÃO]],ações2[OPERAÇÃO],Investimentos!$F$2)/SUMIFS(ações2[QNTD],ações2[AÇÃO],controle[[#This Row],[AÇÃO]],ações2[OPERAÇÃO],Investimentos!$F$2),0)</f>
        <v>5.4552631578947368</v>
      </c>
      <c r="O179" s="59">
        <v>6.27</v>
      </c>
      <c r="P179" s="54">
        <f>controle[[#This Row],[P. MEDIO]]*controle[[#This Row],[QNTD]]</f>
        <v>207.3</v>
      </c>
      <c r="Q179" s="52">
        <f>controle[[#This Row],[COTAÇÃO]]*controle[[#This Row],[QNTD]]</f>
        <v>238.26</v>
      </c>
      <c r="R179" s="53">
        <f>(controle[[#This Row],[MERCADO]]-controle[[#This Row],[GASTO]])</f>
        <v>30.95999999999998</v>
      </c>
      <c r="S179" s="60">
        <f>controle[[#This Row],[MERCADO]]/controle[[#This Row],[GASTO]]-1</f>
        <v>0.1493487698986975</v>
      </c>
      <c r="U179" s="81"/>
      <c r="V179" s="81"/>
      <c r="W179" s="81"/>
    </row>
    <row r="180" spans="2:23" x14ac:dyDescent="0.25">
      <c r="B180" s="67">
        <v>44004</v>
      </c>
      <c r="C180" s="16" t="s">
        <v>64</v>
      </c>
      <c r="D180" s="67" t="s">
        <v>40</v>
      </c>
      <c r="E180" s="68" t="s">
        <v>33</v>
      </c>
      <c r="F180" s="68" t="s">
        <v>68</v>
      </c>
      <c r="G180" s="68">
        <v>5</v>
      </c>
      <c r="H180" s="69">
        <v>10.75</v>
      </c>
      <c r="I180" s="69">
        <f>(ações2[[#This Row],[PREÇO]]*ações2[[#This Row],[QNTD]])</f>
        <v>53.75</v>
      </c>
      <c r="J180" s="69">
        <v>0</v>
      </c>
      <c r="L180" s="143" t="s">
        <v>135</v>
      </c>
      <c r="M180" s="144">
        <f>SUMIFS(ações2[QNTD],ações2[AÇÃO],controle[[#This Row],[AÇÃO]],ações2[OPERAÇÃO],$F$2)</f>
        <v>13</v>
      </c>
      <c r="N180" s="145">
        <f>IFERROR(SUMIFS(ações2[VALOR],ações2[AÇÃO],controle[[#This Row],[AÇÃO]],ações2[OPERAÇÃO],Investimentos!$F$2)/SUMIFS(ações2[QNTD],ações2[AÇÃO],controle[[#This Row],[AÇÃO]],ações2[OPERAÇÃO],Investimentos!$F$2),0)</f>
        <v>14.773076923076925</v>
      </c>
      <c r="O180" s="59">
        <v>15.43</v>
      </c>
      <c r="P180" s="146">
        <f>controle[[#This Row],[P. MEDIO]]*controle[[#This Row],[QNTD]]</f>
        <v>192.05</v>
      </c>
      <c r="Q180" s="147">
        <f>controle[[#This Row],[COTAÇÃO]]*controle[[#This Row],[QNTD]]</f>
        <v>200.59</v>
      </c>
      <c r="R180" s="148">
        <f>(controle[[#This Row],[MERCADO]]-controle[[#This Row],[GASTO]])</f>
        <v>8.539999999999992</v>
      </c>
      <c r="S180" s="60">
        <f>controle[[#This Row],[MERCADO]]/controle[[#This Row],[GASTO]]-1</f>
        <v>4.4467586565998474E-2</v>
      </c>
      <c r="U180" s="81"/>
      <c r="V180" s="81"/>
      <c r="W180" s="81"/>
    </row>
    <row r="181" spans="2:23" x14ac:dyDescent="0.25">
      <c r="B181" s="16">
        <v>44006</v>
      </c>
      <c r="C181" s="16" t="s">
        <v>64</v>
      </c>
      <c r="D181" s="16" t="s">
        <v>8</v>
      </c>
      <c r="E181" s="15" t="s">
        <v>89</v>
      </c>
      <c r="F181" s="15" t="s">
        <v>68</v>
      </c>
      <c r="G181" s="15">
        <v>3</v>
      </c>
      <c r="H181" s="25">
        <v>8.3000000000000007</v>
      </c>
      <c r="I181" s="25">
        <f>(ações2[[#This Row],[PREÇO]]*ações2[[#This Row],[QNTD]])</f>
        <v>24.900000000000002</v>
      </c>
      <c r="J181" s="25">
        <v>0</v>
      </c>
      <c r="K181" s="37"/>
      <c r="L181" s="45" t="s">
        <v>88</v>
      </c>
      <c r="M181" s="46">
        <f>SUMIFS(ações2[QNTD],ações2[AÇÃO],controle[[#This Row],[AÇÃO]],ações2[OPERAÇÃO],$F$2)</f>
        <v>22</v>
      </c>
      <c r="N181" s="47">
        <f>IFERROR(SUMIFS(ações2[VALOR],ações2[AÇÃO],controle[[#This Row],[AÇÃO]],ações2[OPERAÇÃO],Investimentos!$F$2)/SUMIFS(ações2[QNTD],ações2[AÇÃO],controle[[#This Row],[AÇÃO]],ações2[OPERAÇÃO],Investimentos!$F$2),0)</f>
        <v>5.4254545454545449</v>
      </c>
      <c r="O181" s="59">
        <v>5.81</v>
      </c>
      <c r="P181" s="56">
        <f>controle[[#This Row],[P. MEDIO]]*controle[[#This Row],[QNTD]]</f>
        <v>119.35999999999999</v>
      </c>
      <c r="Q181" s="57">
        <f>controle[[#This Row],[COTAÇÃO]]*controle[[#This Row],[QNTD]]</f>
        <v>127.82</v>
      </c>
      <c r="R181" s="58">
        <f>(controle[[#This Row],[MERCADO]]-controle[[#This Row],[GASTO]])</f>
        <v>8.460000000000008</v>
      </c>
      <c r="S181" s="60">
        <f>controle[[#This Row],[MERCADO]]/controle[[#This Row],[GASTO]]-1</f>
        <v>7.0878016085790918E-2</v>
      </c>
      <c r="U181" s="81"/>
      <c r="V181" s="81"/>
      <c r="W181" s="81"/>
    </row>
    <row r="182" spans="2:23" x14ac:dyDescent="0.25">
      <c r="B182" s="16">
        <v>44008</v>
      </c>
      <c r="C182" s="16" t="s">
        <v>64</v>
      </c>
      <c r="D182" s="16" t="s">
        <v>8</v>
      </c>
      <c r="E182" s="15" t="s">
        <v>89</v>
      </c>
      <c r="F182" s="15" t="s">
        <v>68</v>
      </c>
      <c r="G182" s="15">
        <v>4</v>
      </c>
      <c r="H182" s="25">
        <v>7.9</v>
      </c>
      <c r="I182" s="25">
        <f>(ações2[[#This Row],[PREÇO]]*ações2[[#This Row],[QNTD]])</f>
        <v>31.6</v>
      </c>
      <c r="J182" s="25">
        <v>0</v>
      </c>
      <c r="L182" s="45" t="s">
        <v>63</v>
      </c>
      <c r="M182" s="46">
        <v>1</v>
      </c>
      <c r="N182" s="47">
        <v>35.270000000000003</v>
      </c>
      <c r="O182" s="59">
        <f>VLOOKUP(controle[[#This Row],[AÇÃO]],Sheet8!C:G,3,FALSE)</f>
        <v>35.869999999999997</v>
      </c>
      <c r="P182" s="56">
        <f>controle[[#This Row],[P. MEDIO]]*controle[[#This Row],[QNTD]]</f>
        <v>35.270000000000003</v>
      </c>
      <c r="Q182" s="57">
        <f>controle[[#This Row],[COTAÇÃO]]*controle[[#This Row],[QNTD]]</f>
        <v>35.869999999999997</v>
      </c>
      <c r="R182" s="58">
        <f>(controle[[#This Row],[MERCADO]]-controle[[#This Row],[GASTO]])</f>
        <v>0.59999999999999432</v>
      </c>
      <c r="S182" s="60">
        <f>controle[[#This Row],[MERCADO]]/controle[[#This Row],[GASTO]]-1</f>
        <v>1.7011624610150156E-2</v>
      </c>
      <c r="U182" s="81"/>
      <c r="V182" s="81"/>
      <c r="W182" s="81"/>
    </row>
    <row r="183" spans="2:23" x14ac:dyDescent="0.25">
      <c r="B183" s="16">
        <v>44011</v>
      </c>
      <c r="C183" s="16" t="s">
        <v>64</v>
      </c>
      <c r="D183" s="16" t="s">
        <v>40</v>
      </c>
      <c r="E183" s="15" t="s">
        <v>125</v>
      </c>
      <c r="F183" s="15" t="s">
        <v>68</v>
      </c>
      <c r="G183" s="15">
        <v>5</v>
      </c>
      <c r="H183" s="25">
        <v>101</v>
      </c>
      <c r="I183" s="25">
        <f>(ações2[[#This Row],[PREÇO]]*ações2[[#This Row],[QNTD]])</f>
        <v>505</v>
      </c>
      <c r="J183" s="25">
        <v>0.16</v>
      </c>
      <c r="L183" s="44" t="s">
        <v>125</v>
      </c>
      <c r="M183" s="123">
        <f>SUMIFS(ações2[QNTD],ações2[AÇÃO],controle[[#This Row],[AÇÃO]],ações2[OPERAÇÃO],$F$2)</f>
        <v>5</v>
      </c>
      <c r="N183" s="3">
        <f>IFERROR(SUMIFS(ações2[VALOR],ações2[AÇÃO],controle[[#This Row],[AÇÃO]],ações2[OPERAÇÃO],Investimentos!$F$2)/SUMIFS(ações2[QNTD],ações2[AÇÃO],controle[[#This Row],[AÇÃO]],ações2[OPERAÇÃO],Investimentos!$F$2),0)</f>
        <v>101</v>
      </c>
      <c r="O183" s="59">
        <v>101.36</v>
      </c>
      <c r="P183" s="54">
        <f>controle[[#This Row],[P. MEDIO]]*controle[[#This Row],[QNTD]]</f>
        <v>505</v>
      </c>
      <c r="Q183" s="52">
        <f>controle[[#This Row],[COTAÇÃO]]*controle[[#This Row],[QNTD]]</f>
        <v>506.8</v>
      </c>
      <c r="R183" s="55">
        <f>(controle[[#This Row],[MERCADO]]-controle[[#This Row],[GASTO]])</f>
        <v>1.8000000000000114</v>
      </c>
      <c r="S183" s="60">
        <f>controle[[#This Row],[MERCADO]]/controle[[#This Row],[GASTO]]-1</f>
        <v>3.5643564356435675E-3</v>
      </c>
      <c r="T183" s="24"/>
      <c r="U183" s="81"/>
      <c r="V183" s="81"/>
      <c r="W183" s="81"/>
    </row>
    <row r="184" spans="2:23" x14ac:dyDescent="0.25">
      <c r="B184" s="139">
        <v>44014</v>
      </c>
      <c r="C184" s="139" t="s">
        <v>109</v>
      </c>
      <c r="D184" s="139" t="s">
        <v>8</v>
      </c>
      <c r="E184" s="140" t="s">
        <v>135</v>
      </c>
      <c r="F184" s="140" t="s">
        <v>68</v>
      </c>
      <c r="G184" s="140">
        <v>5</v>
      </c>
      <c r="H184" s="141">
        <v>14.85</v>
      </c>
      <c r="I184" s="141">
        <f>(ações2[[#This Row],[PREÇO]]*ações2[[#This Row],[QNTD]])</f>
        <v>74.25</v>
      </c>
      <c r="J184" s="141">
        <v>0.04</v>
      </c>
      <c r="L184" s="44" t="s">
        <v>38</v>
      </c>
      <c r="M184" s="39">
        <f>SUMIFS(ações2[QNTD],ações2[AÇÃO],controle[[#This Row],[AÇÃO]],ações2[OPERAÇÃO],$F$2)</f>
        <v>37</v>
      </c>
      <c r="N184" s="3">
        <f>IFERROR(SUMIFS(ações2[VALOR],ações2[AÇÃO],controle[[#This Row],[AÇÃO]],ações2[OPERAÇÃO],Investimentos!$F$2)/SUMIFS(ações2[QNTD],ações2[AÇÃO],controle[[#This Row],[AÇÃO]],ações2[OPERAÇÃO],Investimentos!$F$2),0)</f>
        <v>5.4970270270270278</v>
      </c>
      <c r="O184" s="59">
        <v>7.47</v>
      </c>
      <c r="P184" s="52">
        <f>controle[[#This Row],[P. MEDIO]]*controle[[#This Row],[QNTD]]</f>
        <v>203.39000000000004</v>
      </c>
      <c r="Q184" s="52">
        <f>controle[[#This Row],[COTAÇÃO]]*controle[[#This Row],[QNTD]]</f>
        <v>276.39</v>
      </c>
      <c r="R184" s="53">
        <f>(controle[[#This Row],[MERCADO]]-controle[[#This Row],[GASTO]])</f>
        <v>72.999999999999943</v>
      </c>
      <c r="S184" s="60">
        <f>controle[[#This Row],[MERCADO]]/controle[[#This Row],[GASTO]]-1</f>
        <v>0.35891636756969336</v>
      </c>
      <c r="U184" s="81"/>
      <c r="W184" s="81"/>
    </row>
    <row r="185" spans="2:23" x14ac:dyDescent="0.25">
      <c r="B185" s="139">
        <v>44014</v>
      </c>
      <c r="C185" s="139" t="s">
        <v>109</v>
      </c>
      <c r="D185" s="139" t="s">
        <v>8</v>
      </c>
      <c r="E185" s="140" t="s">
        <v>135</v>
      </c>
      <c r="F185" s="140" t="s">
        <v>68</v>
      </c>
      <c r="G185" s="140">
        <v>5</v>
      </c>
      <c r="H185" s="141">
        <v>14.8</v>
      </c>
      <c r="I185" s="141">
        <f>(ações2[[#This Row],[PREÇO]]*ações2[[#This Row],[QNTD]])</f>
        <v>74</v>
      </c>
      <c r="J185" s="141">
        <v>0</v>
      </c>
      <c r="L185" s="44" t="s">
        <v>12</v>
      </c>
      <c r="M185" s="39">
        <f>SUMIFS(ações2[QNTD],ações2[AÇÃO],controle[[#This Row],[AÇÃO]],ações2[OPERAÇÃO],$F$2)</f>
        <v>76</v>
      </c>
      <c r="N185" s="3">
        <f>IFERROR(SUMIFS(ações2[VALOR],ações2[AÇÃO],controle[[#This Row],[AÇÃO]],ações2[OPERAÇÃO],Investimentos!$F$2)/SUMIFS(ações2[QNTD],ações2[AÇÃO],controle[[#This Row],[AÇÃO]],ações2[OPERAÇÃO],Investimentos!$F$2),0)</f>
        <v>8.8034210526315775</v>
      </c>
      <c r="O185" s="59">
        <v>10.95</v>
      </c>
      <c r="P185" s="52">
        <f>controle[[#This Row],[P. MEDIO]]*controle[[#This Row],[QNTD]]</f>
        <v>669.06</v>
      </c>
      <c r="Q185" s="52">
        <f>controle[[#This Row],[COTAÇÃO]]*controle[[#This Row],[QNTD]]</f>
        <v>832.19999999999993</v>
      </c>
      <c r="R185" s="53">
        <f>(controle[[#This Row],[MERCADO]]-controle[[#This Row],[GASTO]])</f>
        <v>163.13999999999999</v>
      </c>
      <c r="S185" s="60">
        <f>controle[[#This Row],[MERCADO]]/controle[[#This Row],[GASTO]]-1</f>
        <v>0.24383463366514224</v>
      </c>
      <c r="W185" s="81"/>
    </row>
    <row r="186" spans="2:23" x14ac:dyDescent="0.25">
      <c r="B186" s="139">
        <v>44015</v>
      </c>
      <c r="C186" s="139" t="s">
        <v>109</v>
      </c>
      <c r="D186" s="139" t="s">
        <v>8</v>
      </c>
      <c r="E186" s="140" t="s">
        <v>135</v>
      </c>
      <c r="F186" s="140" t="s">
        <v>68</v>
      </c>
      <c r="G186" s="140">
        <v>3</v>
      </c>
      <c r="H186" s="141">
        <v>14.6</v>
      </c>
      <c r="I186" s="141">
        <f>(ações2[[#This Row],[PREÇO]]*ações2[[#This Row],[QNTD]])</f>
        <v>43.8</v>
      </c>
      <c r="J186" s="141">
        <v>0.01</v>
      </c>
      <c r="W186" s="81"/>
    </row>
    <row r="187" spans="2:23" ht="34.5" x14ac:dyDescent="0.5">
      <c r="E187" s="80"/>
      <c r="O187" s="37">
        <f>SUM(controle[RESULTADO])</f>
        <v>1375.4899999999998</v>
      </c>
      <c r="P187" s="66">
        <f>O187+M146+13</f>
        <v>1390.12</v>
      </c>
      <c r="W187" s="81"/>
    </row>
    <row r="188" spans="2:23" x14ac:dyDescent="0.25">
      <c r="O188" s="77">
        <f>O187/$S$146</f>
        <v>0.14709817203392639</v>
      </c>
      <c r="P188" s="77">
        <f>P187/$S$146</f>
        <v>0.14866273902958346</v>
      </c>
      <c r="W188" s="81"/>
    </row>
    <row r="189" spans="2:23" x14ac:dyDescent="0.25">
      <c r="W189" s="81"/>
    </row>
    <row r="190" spans="2:23" x14ac:dyDescent="0.25">
      <c r="W190" s="81"/>
    </row>
    <row r="191" spans="2:23" x14ac:dyDescent="0.25">
      <c r="N191" s="37"/>
      <c r="O191" s="37"/>
      <c r="P191" s="37"/>
      <c r="W191" s="81"/>
    </row>
    <row r="192" spans="2:23" x14ac:dyDescent="0.25">
      <c r="N192" s="37">
        <f>N193</f>
        <v>9</v>
      </c>
      <c r="O192" s="37">
        <v>22.8</v>
      </c>
      <c r="P192" s="37">
        <v>29.75</v>
      </c>
      <c r="Q192" s="37">
        <f>O192*N192</f>
        <v>205.20000000000002</v>
      </c>
      <c r="R192" s="37">
        <f>P192*N192</f>
        <v>267.75</v>
      </c>
      <c r="S192" s="37">
        <f>R192-Q192</f>
        <v>62.549999999999983</v>
      </c>
      <c r="T192" s="63">
        <f>(S192/Q192)</f>
        <v>0.30482456140350866</v>
      </c>
      <c r="W192" s="81"/>
    </row>
    <row r="193" spans="14:23" x14ac:dyDescent="0.25">
      <c r="N193" s="37">
        <f>M172</f>
        <v>9</v>
      </c>
      <c r="O193" s="78">
        <f>N172</f>
        <v>21.573333333333338</v>
      </c>
      <c r="P193" s="37">
        <v>28.68</v>
      </c>
      <c r="Q193" s="79">
        <f>O193*N193</f>
        <v>194.16000000000003</v>
      </c>
      <c r="R193" s="37">
        <f>P193*N193</f>
        <v>258.12</v>
      </c>
      <c r="S193" s="37">
        <f>R193-Q193</f>
        <v>63.95999999999998</v>
      </c>
      <c r="T193" s="63">
        <f>(S193/Q193)</f>
        <v>0.32941903584672422</v>
      </c>
      <c r="W193" s="81"/>
    </row>
    <row r="194" spans="14:23" x14ac:dyDescent="0.25">
      <c r="N194" s="37"/>
      <c r="O194" s="37"/>
      <c r="P194" s="37"/>
    </row>
    <row r="195" spans="14:23" x14ac:dyDescent="0.25">
      <c r="N195" s="37"/>
      <c r="O195" s="37"/>
      <c r="P195" s="37"/>
    </row>
  </sheetData>
  <pageMargins left="0.7" right="0.7" top="0.75" bottom="0.75" header="0.3" footer="0.3"/>
  <pageSetup paperSize="9" orientation="portrait" horizontalDpi="300" verticalDpi="300" r:id="rId5"/>
  <drawing r:id="rId6"/>
  <picture r:id="rId7"/>
  <tableParts count="3">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3A4CF648-6AED-40f4-86FF-DC5316D8AED3}">
      <x14:slicerList xmlns:x14="http://schemas.microsoft.com/office/spreadsheetml/2009/9/main">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S74"/>
  <sheetViews>
    <sheetView showGridLines="0" workbookViewId="0">
      <selection activeCell="G1" sqref="G1"/>
    </sheetView>
  </sheetViews>
  <sheetFormatPr defaultRowHeight="15" x14ac:dyDescent="0.25"/>
  <cols>
    <col min="1" max="1" width="1.28515625" style="89" customWidth="1"/>
    <col min="2" max="2" width="8.7109375" style="89" customWidth="1"/>
    <col min="3" max="3" width="8.5703125" style="90" customWidth="1"/>
    <col min="4" max="5" width="14.28515625" style="89" bestFit="1" customWidth="1"/>
    <col min="6" max="6" width="13" style="89" customWidth="1"/>
    <col min="7" max="7" width="12.7109375" style="89" customWidth="1"/>
    <col min="8" max="8" width="15.85546875" style="89" bestFit="1" customWidth="1"/>
    <col min="9" max="9" width="15.85546875" style="89" customWidth="1"/>
    <col min="10" max="10" width="2.42578125" style="89" customWidth="1"/>
    <col min="11" max="11" width="12" style="89" customWidth="1"/>
    <col min="12" max="13" width="14.28515625" style="89" bestFit="1" customWidth="1"/>
    <col min="14" max="14" width="15.28515625" style="89" bestFit="1" customWidth="1"/>
    <col min="15" max="15" width="12" style="89" customWidth="1"/>
    <col min="16" max="16" width="8" style="89" bestFit="1" customWidth="1"/>
    <col min="17" max="17" width="9.85546875" style="89" customWidth="1"/>
    <col min="18" max="18" width="9.85546875" style="89" bestFit="1" customWidth="1"/>
    <col min="19" max="19" width="10.5703125" style="89" customWidth="1"/>
    <col min="20" max="20" width="12.85546875" style="89" bestFit="1" customWidth="1"/>
    <col min="21" max="16384" width="9.140625" style="89"/>
  </cols>
  <sheetData>
    <row r="1" spans="2:19" ht="6.75" customHeight="1" x14ac:dyDescent="0.25"/>
    <row r="2" spans="2:19" ht="15.75" thickBot="1" x14ac:dyDescent="0.25">
      <c r="B2" s="84" t="s">
        <v>115</v>
      </c>
      <c r="C2" s="85" t="s">
        <v>114</v>
      </c>
      <c r="D2" s="85" t="s">
        <v>110</v>
      </c>
      <c r="E2" s="85" t="s">
        <v>111</v>
      </c>
      <c r="F2" s="85" t="s">
        <v>113</v>
      </c>
      <c r="G2" s="85" t="s">
        <v>112</v>
      </c>
      <c r="H2" s="86" t="s">
        <v>116</v>
      </c>
      <c r="I2" s="85" t="s">
        <v>131</v>
      </c>
      <c r="K2" s="91" t="s">
        <v>117</v>
      </c>
      <c r="L2" s="92" t="s">
        <v>119</v>
      </c>
      <c r="M2" s="92" t="s">
        <v>120</v>
      </c>
      <c r="N2" s="92" t="s">
        <v>121</v>
      </c>
      <c r="P2" s="112" t="s">
        <v>126</v>
      </c>
      <c r="Q2" s="112" t="s">
        <v>128</v>
      </c>
    </row>
    <row r="3" spans="2:19" ht="15.75" thickBot="1" x14ac:dyDescent="0.25">
      <c r="B3" s="87" t="s">
        <v>82</v>
      </c>
      <c r="C3" s="82">
        <v>43831</v>
      </c>
      <c r="D3" s="83">
        <v>10013078</v>
      </c>
      <c r="E3" s="83">
        <v>7555619</v>
      </c>
      <c r="F3" s="83">
        <v>0.89</v>
      </c>
      <c r="G3" s="83">
        <v>0.67</v>
      </c>
      <c r="H3" s="88">
        <v>15850000</v>
      </c>
      <c r="I3" s="137">
        <v>683513419</v>
      </c>
      <c r="K3" s="92" t="s">
        <v>33</v>
      </c>
      <c r="L3" s="93"/>
      <c r="M3" s="93"/>
      <c r="N3" s="93"/>
      <c r="P3" s="113">
        <f>(((L19-M19)+N19)*0.95)/O19</f>
        <v>1.3897936593059936</v>
      </c>
      <c r="Q3" s="113">
        <f>Q19*P3</f>
        <v>6.6849075012618302</v>
      </c>
    </row>
    <row r="4" spans="2:19" ht="15.75" thickBot="1" x14ac:dyDescent="0.25">
      <c r="B4" s="87" t="s">
        <v>82</v>
      </c>
      <c r="C4" s="82">
        <v>43862</v>
      </c>
      <c r="D4" s="83">
        <v>10370463</v>
      </c>
      <c r="E4" s="83">
        <v>8041617</v>
      </c>
      <c r="F4" s="83">
        <v>0.92</v>
      </c>
      <c r="G4" s="83">
        <v>0.7</v>
      </c>
      <c r="H4" s="88">
        <v>15850000</v>
      </c>
      <c r="I4" s="137">
        <v>683513419</v>
      </c>
      <c r="K4" s="95">
        <v>43831</v>
      </c>
      <c r="L4" s="93">
        <v>6749300</v>
      </c>
      <c r="M4" s="93">
        <v>6030497</v>
      </c>
      <c r="N4" s="93">
        <v>122942210</v>
      </c>
      <c r="O4" s="94"/>
      <c r="P4" s="113">
        <f>(((L20-M20)+N20)*0.95)/O20</f>
        <v>5.8151624409549817E-2</v>
      </c>
      <c r="Q4" s="113">
        <f>Q20*P4</f>
        <v>2.6749747228392916E-2</v>
      </c>
    </row>
    <row r="5" spans="2:19" ht="15.75" thickBot="1" x14ac:dyDescent="0.25">
      <c r="B5" s="87" t="s">
        <v>82</v>
      </c>
      <c r="C5" s="82">
        <v>43891</v>
      </c>
      <c r="D5" s="83">
        <v>6774601</v>
      </c>
      <c r="E5" s="83">
        <v>8988734</v>
      </c>
      <c r="F5" s="83">
        <v>0.6</v>
      </c>
      <c r="G5" s="83">
        <v>0.7</v>
      </c>
      <c r="H5" s="88">
        <v>15850000</v>
      </c>
      <c r="I5" s="137">
        <v>683513419</v>
      </c>
      <c r="K5" s="95">
        <v>43862</v>
      </c>
      <c r="L5" s="93">
        <v>8743068</v>
      </c>
      <c r="M5" s="93">
        <v>7065269</v>
      </c>
      <c r="N5" s="93">
        <v>122942210</v>
      </c>
      <c r="O5" s="94"/>
      <c r="P5" s="113">
        <f>(((L21-M21)+N21)*0.95)/O21</f>
        <v>0.73509474413799281</v>
      </c>
      <c r="Q5" s="113">
        <f>Q21*P5</f>
        <v>3.5422706894956226</v>
      </c>
    </row>
    <row r="6" spans="2:19" ht="15.75" thickBot="1" x14ac:dyDescent="0.25">
      <c r="B6" s="87" t="s">
        <v>82</v>
      </c>
      <c r="C6" s="82">
        <v>43922</v>
      </c>
      <c r="D6" s="83">
        <v>19898481</v>
      </c>
      <c r="E6" s="83">
        <v>12046000</v>
      </c>
      <c r="F6" s="83">
        <v>1.26</v>
      </c>
      <c r="G6" s="83">
        <v>0.76</v>
      </c>
      <c r="H6" s="88">
        <v>15850000</v>
      </c>
      <c r="I6" s="137">
        <v>683513419</v>
      </c>
      <c r="K6" s="95">
        <v>43891</v>
      </c>
      <c r="L6" s="93">
        <v>5685671</v>
      </c>
      <c r="M6" s="93">
        <v>7313392</v>
      </c>
      <c r="N6" s="93">
        <v>122942210</v>
      </c>
      <c r="O6" s="94"/>
      <c r="P6" s="113">
        <f>(((L22-M22)+N22)*0.95)/O22</f>
        <v>0.98436346887552606</v>
      </c>
      <c r="Q6" s="113">
        <f>SUM(Q3:Q5)</f>
        <v>10.253927937985846</v>
      </c>
    </row>
    <row r="7" spans="2:19" ht="15.75" thickBot="1" x14ac:dyDescent="0.3">
      <c r="B7" s="87" t="s">
        <v>82</v>
      </c>
      <c r="C7" s="82">
        <v>43952</v>
      </c>
      <c r="D7" s="83">
        <v>16848563</v>
      </c>
      <c r="E7" s="83">
        <v>14265000</v>
      </c>
      <c r="F7" s="83">
        <v>1.06</v>
      </c>
      <c r="G7" s="83">
        <v>0.9</v>
      </c>
      <c r="H7" s="88">
        <v>15850000</v>
      </c>
      <c r="I7" s="137">
        <v>683513419</v>
      </c>
      <c r="K7" s="95">
        <v>43922</v>
      </c>
      <c r="L7" s="93">
        <v>8590981</v>
      </c>
      <c r="M7" s="93">
        <v>8605955</v>
      </c>
      <c r="N7" s="93">
        <v>122942210</v>
      </c>
      <c r="O7" s="97"/>
      <c r="P7" s="97"/>
      <c r="Q7" s="97"/>
      <c r="R7" s="97"/>
      <c r="S7" s="97"/>
    </row>
    <row r="8" spans="2:19" ht="15.75" thickBot="1" x14ac:dyDescent="0.3">
      <c r="B8" s="87" t="s">
        <v>82</v>
      </c>
      <c r="C8" s="82">
        <v>43983</v>
      </c>
      <c r="D8" s="83"/>
      <c r="E8" s="83"/>
      <c r="F8" s="83"/>
      <c r="G8" s="83">
        <v>1.08</v>
      </c>
      <c r="H8" s="88"/>
      <c r="I8" s="106"/>
      <c r="K8" s="95">
        <v>43952</v>
      </c>
      <c r="L8" s="93">
        <v>7853402</v>
      </c>
      <c r="M8" s="93">
        <v>8605955</v>
      </c>
      <c r="N8" s="93">
        <v>122942210</v>
      </c>
      <c r="O8" s="97"/>
      <c r="S8" s="97"/>
    </row>
    <row r="9" spans="2:19" ht="15.75" thickBot="1" x14ac:dyDescent="0.3">
      <c r="B9" s="87" t="s">
        <v>82</v>
      </c>
      <c r="C9" s="82">
        <v>44013</v>
      </c>
      <c r="D9" s="83"/>
      <c r="E9" s="83"/>
      <c r="F9" s="83"/>
      <c r="G9" s="83"/>
      <c r="H9" s="88"/>
      <c r="I9" s="106"/>
      <c r="K9" s="95">
        <v>43983</v>
      </c>
      <c r="L9" s="93"/>
      <c r="M9" s="93"/>
      <c r="N9" s="93"/>
      <c r="O9" s="97"/>
      <c r="S9" s="97"/>
    </row>
    <row r="10" spans="2:19" ht="15.75" thickBot="1" x14ac:dyDescent="0.3">
      <c r="B10" s="87" t="s">
        <v>82</v>
      </c>
      <c r="C10" s="82">
        <v>44044</v>
      </c>
      <c r="D10" s="83"/>
      <c r="E10" s="83"/>
      <c r="F10" s="83"/>
      <c r="G10" s="83"/>
      <c r="H10" s="88"/>
      <c r="I10" s="106"/>
      <c r="K10" s="95">
        <v>44013</v>
      </c>
      <c r="L10" s="93"/>
      <c r="M10" s="93"/>
      <c r="N10" s="93"/>
      <c r="O10" s="97"/>
      <c r="S10" s="97"/>
    </row>
    <row r="11" spans="2:19" ht="15.75" thickBot="1" x14ac:dyDescent="0.3">
      <c r="B11" s="87" t="s">
        <v>82</v>
      </c>
      <c r="C11" s="82">
        <v>44075</v>
      </c>
      <c r="D11" s="83"/>
      <c r="E11" s="83"/>
      <c r="F11" s="83"/>
      <c r="G11" s="83"/>
      <c r="H11" s="88"/>
      <c r="I11" s="106"/>
      <c r="K11" s="95">
        <v>44044</v>
      </c>
      <c r="L11" s="93"/>
      <c r="M11" s="93"/>
      <c r="N11" s="93"/>
      <c r="O11" s="97"/>
      <c r="S11" s="98"/>
    </row>
    <row r="12" spans="2:19" ht="15.75" thickBot="1" x14ac:dyDescent="0.3">
      <c r="B12" s="87" t="s">
        <v>82</v>
      </c>
      <c r="C12" s="82">
        <v>44105</v>
      </c>
      <c r="D12" s="83"/>
      <c r="E12" s="83"/>
      <c r="F12" s="83"/>
      <c r="G12" s="83"/>
      <c r="H12" s="88"/>
      <c r="I12" s="106"/>
      <c r="K12" s="95">
        <v>44075</v>
      </c>
      <c r="L12" s="93"/>
      <c r="M12" s="93"/>
      <c r="N12" s="93"/>
      <c r="O12" s="97"/>
      <c r="S12" s="97"/>
    </row>
    <row r="13" spans="2:19" ht="15.75" thickBot="1" x14ac:dyDescent="0.3">
      <c r="B13" s="87" t="s">
        <v>82</v>
      </c>
      <c r="C13" s="82">
        <v>44136</v>
      </c>
      <c r="D13" s="83"/>
      <c r="E13" s="83"/>
      <c r="F13" s="83"/>
      <c r="G13" s="83"/>
      <c r="H13" s="88"/>
      <c r="I13" s="106"/>
      <c r="K13" s="95">
        <v>44105</v>
      </c>
      <c r="L13" s="93"/>
      <c r="M13" s="93"/>
      <c r="N13" s="93"/>
    </row>
    <row r="14" spans="2:19" ht="15.75" thickBot="1" x14ac:dyDescent="0.3">
      <c r="B14" s="87" t="s">
        <v>82</v>
      </c>
      <c r="C14" s="82">
        <v>44166</v>
      </c>
      <c r="D14" s="83"/>
      <c r="E14" s="83"/>
      <c r="F14" s="83"/>
      <c r="G14" s="83"/>
      <c r="H14" s="88"/>
      <c r="I14" s="106"/>
      <c r="K14" s="95">
        <v>44136</v>
      </c>
      <c r="L14" s="93"/>
      <c r="M14" s="93"/>
      <c r="N14" s="93"/>
    </row>
    <row r="15" spans="2:19" ht="15.75" thickBot="1" x14ac:dyDescent="0.3">
      <c r="B15" s="87" t="s">
        <v>39</v>
      </c>
      <c r="C15" s="82">
        <v>43831</v>
      </c>
      <c r="D15" s="83">
        <v>2624167</v>
      </c>
      <c r="E15" s="83">
        <v>2416997</v>
      </c>
      <c r="F15" s="83"/>
      <c r="G15" s="83">
        <v>0.81</v>
      </c>
      <c r="H15" s="88">
        <v>5990397</v>
      </c>
      <c r="I15" s="106"/>
      <c r="K15" s="95">
        <v>44166</v>
      </c>
      <c r="L15" s="93"/>
      <c r="M15" s="93"/>
      <c r="N15" s="93"/>
    </row>
    <row r="16" spans="2:19" ht="15.75" thickBot="1" x14ac:dyDescent="0.3">
      <c r="B16" s="87" t="s">
        <v>39</v>
      </c>
      <c r="C16" s="82">
        <v>43862</v>
      </c>
      <c r="D16" s="83">
        <v>4451612</v>
      </c>
      <c r="E16" s="83">
        <v>3651066</v>
      </c>
      <c r="F16" s="83"/>
      <c r="G16" s="83">
        <v>0.84370000000000001</v>
      </c>
      <c r="H16" s="88">
        <v>5990397</v>
      </c>
      <c r="I16" s="106"/>
      <c r="K16" s="92" t="s">
        <v>62</v>
      </c>
      <c r="L16" s="93">
        <v>37622422</v>
      </c>
      <c r="M16" s="93">
        <v>37621068</v>
      </c>
      <c r="N16" s="93">
        <v>122942210</v>
      </c>
    </row>
    <row r="17" spans="2:18" ht="19.5" thickBot="1" x14ac:dyDescent="0.35">
      <c r="B17" s="87" t="s">
        <v>39</v>
      </c>
      <c r="C17" s="82">
        <v>43891</v>
      </c>
      <c r="D17" s="83">
        <v>4632007</v>
      </c>
      <c r="E17" s="83">
        <v>4122186</v>
      </c>
      <c r="F17" s="83"/>
      <c r="G17" s="83">
        <v>0.81</v>
      </c>
      <c r="H17" s="88">
        <v>5990397</v>
      </c>
      <c r="I17" s="106"/>
      <c r="K17"/>
      <c r="L17"/>
      <c r="M17"/>
      <c r="N17" s="96" t="e">
        <f>SUM(#REF!)</f>
        <v>#REF!</v>
      </c>
      <c r="P17"/>
      <c r="Q17"/>
      <c r="R17"/>
    </row>
    <row r="18" spans="2:18" ht="15.75" thickBot="1" x14ac:dyDescent="0.25">
      <c r="B18" s="87" t="s">
        <v>39</v>
      </c>
      <c r="C18" s="82">
        <v>43922</v>
      </c>
      <c r="D18" s="83">
        <v>4325266</v>
      </c>
      <c r="E18" s="83">
        <v>4401209</v>
      </c>
      <c r="F18" s="83"/>
      <c r="G18" s="83">
        <v>0.81</v>
      </c>
      <c r="H18" s="88">
        <v>5990397</v>
      </c>
      <c r="I18" s="106"/>
      <c r="K18" s="109" t="s">
        <v>56</v>
      </c>
      <c r="L18" s="110" t="s">
        <v>119</v>
      </c>
      <c r="M18" s="110" t="s">
        <v>120</v>
      </c>
      <c r="N18" s="108" t="s">
        <v>129</v>
      </c>
      <c r="O18" s="110" t="s">
        <v>121</v>
      </c>
      <c r="P18" s="110" t="s">
        <v>130</v>
      </c>
      <c r="Q18" s="110" t="s">
        <v>123</v>
      </c>
    </row>
    <row r="19" spans="2:18" ht="15.75" thickBot="1" x14ac:dyDescent="0.25">
      <c r="B19" s="87" t="s">
        <v>39</v>
      </c>
      <c r="C19" s="82">
        <v>43952</v>
      </c>
      <c r="D19" s="83">
        <v>3930461</v>
      </c>
      <c r="E19" s="83">
        <v>4568842</v>
      </c>
      <c r="F19" s="83"/>
      <c r="G19" s="83">
        <v>0.81</v>
      </c>
      <c r="H19" s="88">
        <v>5990397</v>
      </c>
      <c r="I19" s="106"/>
      <c r="K19" s="111" t="s">
        <v>82</v>
      </c>
      <c r="L19" s="114">
        <v>63905186</v>
      </c>
      <c r="M19" s="114">
        <v>50896970</v>
      </c>
      <c r="N19" s="114">
        <v>10179394</v>
      </c>
      <c r="O19" s="114">
        <v>15850000</v>
      </c>
      <c r="P19" s="114">
        <v>10</v>
      </c>
      <c r="Q19" s="108">
        <v>4.8100000000000005</v>
      </c>
    </row>
    <row r="20" spans="2:18" ht="15.75" thickBot="1" x14ac:dyDescent="0.25">
      <c r="B20" s="87" t="s">
        <v>39</v>
      </c>
      <c r="C20" s="82">
        <v>43983</v>
      </c>
      <c r="D20" s="83"/>
      <c r="E20" s="83"/>
      <c r="F20" s="83"/>
      <c r="G20" s="83">
        <f>P5</f>
        <v>0.73509474413799281</v>
      </c>
      <c r="H20" s="88"/>
      <c r="I20" s="106"/>
      <c r="K20" s="111" t="s">
        <v>33</v>
      </c>
      <c r="L20" s="114">
        <v>37622422</v>
      </c>
      <c r="M20" s="114">
        <v>37621068</v>
      </c>
      <c r="N20" s="114">
        <v>7524213.5999999996</v>
      </c>
      <c r="O20" s="114">
        <v>122942210</v>
      </c>
      <c r="P20" s="114">
        <v>100</v>
      </c>
      <c r="Q20" s="108">
        <v>0.46</v>
      </c>
    </row>
    <row r="21" spans="2:18" ht="15.75" thickBot="1" x14ac:dyDescent="0.25">
      <c r="B21" s="87" t="s">
        <v>39</v>
      </c>
      <c r="C21" s="82">
        <v>44013</v>
      </c>
      <c r="D21" s="83"/>
      <c r="E21" s="83"/>
      <c r="F21" s="83"/>
      <c r="G21" s="83"/>
      <c r="H21" s="88"/>
      <c r="I21" s="106"/>
      <c r="K21" s="111" t="s">
        <v>39</v>
      </c>
      <c r="L21" s="114">
        <v>19963513</v>
      </c>
      <c r="M21" s="114">
        <v>19160300</v>
      </c>
      <c r="N21" s="114">
        <v>3832060</v>
      </c>
      <c r="O21" s="114">
        <v>5990397</v>
      </c>
      <c r="P21" s="114">
        <v>33</v>
      </c>
      <c r="Q21" s="108">
        <v>4.8187947441379935</v>
      </c>
    </row>
    <row r="22" spans="2:18" ht="15.75" thickBot="1" x14ac:dyDescent="0.25">
      <c r="B22" s="87" t="s">
        <v>39</v>
      </c>
      <c r="C22" s="82">
        <v>44044</v>
      </c>
      <c r="D22" s="83"/>
      <c r="E22" s="83"/>
      <c r="F22" s="83"/>
      <c r="G22" s="83"/>
      <c r="H22" s="88"/>
      <c r="I22" s="106"/>
      <c r="K22" s="111" t="s">
        <v>125</v>
      </c>
      <c r="L22" s="114">
        <v>30030566</v>
      </c>
      <c r="M22" s="114">
        <v>28657709</v>
      </c>
      <c r="N22" s="114">
        <v>5731541.7999999998</v>
      </c>
      <c r="O22" s="114">
        <v>6856389</v>
      </c>
      <c r="P22" s="114">
        <v>5</v>
      </c>
      <c r="Q22" s="108">
        <v>5.1643634688755267</v>
      </c>
    </row>
    <row r="23" spans="2:18" ht="15.75" thickBot="1" x14ac:dyDescent="0.25">
      <c r="B23" s="87" t="s">
        <v>39</v>
      </c>
      <c r="C23" s="82">
        <v>44075</v>
      </c>
      <c r="D23" s="83"/>
      <c r="E23" s="83"/>
      <c r="F23" s="83"/>
      <c r="G23" s="83"/>
      <c r="H23" s="88"/>
      <c r="I23" s="106"/>
      <c r="K23" s="111" t="s">
        <v>62</v>
      </c>
      <c r="L23" s="114">
        <v>151521687</v>
      </c>
      <c r="M23" s="114">
        <v>136336047</v>
      </c>
      <c r="N23" s="114">
        <v>6816802.3499999996</v>
      </c>
      <c r="O23" s="114">
        <v>37909749</v>
      </c>
      <c r="P23" s="114">
        <v>148</v>
      </c>
      <c r="Q23" s="108">
        <v>15.253158213013521</v>
      </c>
    </row>
    <row r="24" spans="2:18" ht="15.75" thickBot="1" x14ac:dyDescent="0.3">
      <c r="B24" s="87" t="s">
        <v>39</v>
      </c>
      <c r="C24" s="82">
        <v>44105</v>
      </c>
      <c r="D24" s="83"/>
      <c r="E24" s="83"/>
      <c r="F24" s="83"/>
      <c r="G24" s="83"/>
      <c r="H24" s="88"/>
      <c r="I24" s="106"/>
      <c r="K24"/>
      <c r="L24"/>
      <c r="M24"/>
      <c r="N24"/>
    </row>
    <row r="25" spans="2:18" ht="15.75" thickBot="1" x14ac:dyDescent="0.3">
      <c r="B25" s="87" t="s">
        <v>39</v>
      </c>
      <c r="C25" s="82">
        <v>44136</v>
      </c>
      <c r="D25" s="83"/>
      <c r="E25" s="83"/>
      <c r="F25" s="83"/>
      <c r="G25" s="83"/>
      <c r="H25" s="88"/>
      <c r="I25" s="106"/>
      <c r="K25"/>
      <c r="L25"/>
      <c r="M25"/>
      <c r="N25"/>
    </row>
    <row r="26" spans="2:18" ht="15.75" thickBot="1" x14ac:dyDescent="0.3">
      <c r="B26" s="87" t="s">
        <v>39</v>
      </c>
      <c r="C26" s="82">
        <v>44166</v>
      </c>
      <c r="D26" s="83"/>
      <c r="E26" s="83"/>
      <c r="F26" s="83"/>
      <c r="G26" s="83"/>
      <c r="H26" s="88"/>
      <c r="I26" s="106"/>
      <c r="K26"/>
      <c r="L26"/>
      <c r="M26"/>
      <c r="N26"/>
    </row>
    <row r="27" spans="2:18" ht="15.75" thickBot="1" x14ac:dyDescent="0.3">
      <c r="B27" s="87" t="s">
        <v>33</v>
      </c>
      <c r="C27" s="82">
        <v>43831</v>
      </c>
      <c r="D27" s="83">
        <v>6749300</v>
      </c>
      <c r="E27" s="83">
        <v>6030497</v>
      </c>
      <c r="F27" s="83"/>
      <c r="G27" s="83">
        <v>0.08</v>
      </c>
      <c r="H27" s="88">
        <v>122942210</v>
      </c>
      <c r="I27" s="136">
        <v>1260331811</v>
      </c>
      <c r="K27"/>
      <c r="L27"/>
      <c r="M27"/>
      <c r="N27"/>
    </row>
    <row r="28" spans="2:18" ht="15.75" thickBot="1" x14ac:dyDescent="0.3">
      <c r="B28" s="87" t="s">
        <v>33</v>
      </c>
      <c r="C28" s="82">
        <v>43862</v>
      </c>
      <c r="D28" s="83">
        <v>8743068</v>
      </c>
      <c r="E28" s="83">
        <v>7065269</v>
      </c>
      <c r="F28" s="83"/>
      <c r="G28" s="83">
        <v>0.09</v>
      </c>
      <c r="H28" s="88">
        <v>122942210</v>
      </c>
      <c r="I28" s="136">
        <v>1260331811</v>
      </c>
      <c r="K28"/>
      <c r="L28"/>
      <c r="M28"/>
      <c r="N28"/>
    </row>
    <row r="29" spans="2:18" ht="15.75" thickBot="1" x14ac:dyDescent="0.3">
      <c r="B29" s="87" t="s">
        <v>33</v>
      </c>
      <c r="C29" s="82">
        <v>43891</v>
      </c>
      <c r="D29" s="83">
        <v>5685671</v>
      </c>
      <c r="E29" s="83">
        <v>7313392</v>
      </c>
      <c r="F29" s="83"/>
      <c r="G29" s="83">
        <v>0.08</v>
      </c>
      <c r="H29" s="88">
        <v>122942210</v>
      </c>
      <c r="I29" s="136">
        <v>1260331811</v>
      </c>
      <c r="K29"/>
      <c r="L29"/>
      <c r="M29"/>
      <c r="N29"/>
    </row>
    <row r="30" spans="2:18" ht="15.75" thickBot="1" x14ac:dyDescent="0.3">
      <c r="B30" s="87" t="s">
        <v>33</v>
      </c>
      <c r="C30" s="82">
        <v>43922</v>
      </c>
      <c r="D30" s="83">
        <v>8590981</v>
      </c>
      <c r="E30" s="83">
        <v>8605955</v>
      </c>
      <c r="F30" s="83"/>
      <c r="G30" s="83">
        <v>7.0000000000000007E-2</v>
      </c>
      <c r="H30" s="88">
        <v>122942210</v>
      </c>
      <c r="I30" s="136">
        <v>1260331811</v>
      </c>
      <c r="K30"/>
      <c r="L30"/>
      <c r="M30"/>
      <c r="N30"/>
    </row>
    <row r="31" spans="2:18" ht="15.75" thickBot="1" x14ac:dyDescent="0.3">
      <c r="B31" s="87" t="s">
        <v>33</v>
      </c>
      <c r="C31" s="82">
        <v>43952</v>
      </c>
      <c r="D31" s="83">
        <v>7853402</v>
      </c>
      <c r="E31" s="83">
        <v>8605955</v>
      </c>
      <c r="F31" s="83"/>
      <c r="G31" s="83">
        <v>7.0000000000000007E-2</v>
      </c>
      <c r="H31" s="88">
        <v>122942210</v>
      </c>
      <c r="I31" s="136">
        <v>1260331811</v>
      </c>
      <c r="K31"/>
      <c r="L31"/>
      <c r="M31"/>
      <c r="N31"/>
    </row>
    <row r="32" spans="2:18" ht="15.75" thickBot="1" x14ac:dyDescent="0.3">
      <c r="B32" s="87" t="s">
        <v>33</v>
      </c>
      <c r="C32" s="82">
        <v>43983</v>
      </c>
      <c r="D32" s="83"/>
      <c r="E32" s="83"/>
      <c r="F32" s="83"/>
      <c r="G32" s="83">
        <v>7.0000000000000007E-2</v>
      </c>
      <c r="H32" s="88"/>
      <c r="I32" s="106"/>
      <c r="K32"/>
      <c r="L32"/>
      <c r="M32"/>
      <c r="N32"/>
    </row>
    <row r="33" spans="2:14" ht="15.75" thickBot="1" x14ac:dyDescent="0.3">
      <c r="B33" s="87" t="s">
        <v>33</v>
      </c>
      <c r="C33" s="82">
        <v>44013</v>
      </c>
      <c r="D33" s="83"/>
      <c r="E33" s="83"/>
      <c r="F33" s="83"/>
      <c r="G33" s="83"/>
      <c r="H33" s="88"/>
      <c r="I33" s="106"/>
      <c r="K33"/>
      <c r="L33"/>
      <c r="M33"/>
      <c r="N33"/>
    </row>
    <row r="34" spans="2:14" ht="15.75" thickBot="1" x14ac:dyDescent="0.3">
      <c r="B34" s="87" t="s">
        <v>33</v>
      </c>
      <c r="C34" s="82">
        <v>44044</v>
      </c>
      <c r="D34" s="83"/>
      <c r="E34" s="83"/>
      <c r="F34" s="83"/>
      <c r="G34" s="83"/>
      <c r="H34" s="88"/>
      <c r="I34" s="106"/>
      <c r="K34"/>
      <c r="L34"/>
      <c r="M34"/>
      <c r="N34"/>
    </row>
    <row r="35" spans="2:14" ht="15.75" thickBot="1" x14ac:dyDescent="0.3">
      <c r="B35" s="87" t="s">
        <v>33</v>
      </c>
      <c r="C35" s="82">
        <v>44075</v>
      </c>
      <c r="D35" s="83"/>
      <c r="E35" s="83"/>
      <c r="F35" s="83"/>
      <c r="G35" s="83"/>
      <c r="H35" s="88"/>
      <c r="I35" s="106"/>
      <c r="K35"/>
      <c r="L35"/>
      <c r="M35"/>
      <c r="N35"/>
    </row>
    <row r="36" spans="2:14" ht="15.75" thickBot="1" x14ac:dyDescent="0.3">
      <c r="B36" s="87" t="s">
        <v>33</v>
      </c>
      <c r="C36" s="82">
        <v>44105</v>
      </c>
      <c r="D36" s="83"/>
      <c r="E36" s="83"/>
      <c r="F36" s="83"/>
      <c r="G36" s="83"/>
      <c r="H36" s="88"/>
      <c r="I36" s="106"/>
    </row>
    <row r="37" spans="2:14" ht="15.75" thickBot="1" x14ac:dyDescent="0.3">
      <c r="B37" s="87" t="s">
        <v>33</v>
      </c>
      <c r="C37" s="82">
        <v>44136</v>
      </c>
      <c r="D37" s="83"/>
      <c r="E37" s="83"/>
      <c r="F37" s="83"/>
      <c r="G37" s="83"/>
      <c r="H37" s="88"/>
      <c r="I37" s="106"/>
    </row>
    <row r="38" spans="2:14" ht="15.75" thickBot="1" x14ac:dyDescent="0.3">
      <c r="B38" s="87" t="s">
        <v>33</v>
      </c>
      <c r="C38" s="82">
        <v>44166</v>
      </c>
      <c r="D38" s="83"/>
      <c r="E38" s="83"/>
      <c r="F38" s="83"/>
      <c r="G38" s="83"/>
      <c r="H38" s="88"/>
      <c r="I38" s="106"/>
    </row>
    <row r="39" spans="2:14" ht="15.75" thickBot="1" x14ac:dyDescent="0.3">
      <c r="B39" s="87" t="s">
        <v>118</v>
      </c>
      <c r="C39" s="82">
        <v>43831</v>
      </c>
      <c r="D39" s="83">
        <v>1912022</v>
      </c>
      <c r="E39" s="83">
        <v>2246400</v>
      </c>
      <c r="F39" s="83"/>
      <c r="G39" s="83">
        <v>0.52</v>
      </c>
      <c r="H39" s="88">
        <v>4320000</v>
      </c>
      <c r="I39" s="106"/>
    </row>
    <row r="40" spans="2:14" ht="15.75" thickBot="1" x14ac:dyDescent="0.3">
      <c r="B40" s="87" t="s">
        <v>118</v>
      </c>
      <c r="C40" s="82">
        <v>43862</v>
      </c>
      <c r="D40" s="83">
        <v>2378203</v>
      </c>
      <c r="E40" s="83">
        <v>2246400</v>
      </c>
      <c r="F40" s="83"/>
      <c r="G40" s="83">
        <v>0.52</v>
      </c>
      <c r="H40" s="88">
        <v>4320000</v>
      </c>
      <c r="I40" s="106"/>
    </row>
    <row r="41" spans="2:14" ht="15.75" thickBot="1" x14ac:dyDescent="0.3">
      <c r="B41" s="87" t="s">
        <v>118</v>
      </c>
      <c r="C41" s="82">
        <v>43891</v>
      </c>
      <c r="D41" s="83">
        <v>2422255</v>
      </c>
      <c r="E41" s="83">
        <v>2160000</v>
      </c>
      <c r="F41" s="83"/>
      <c r="G41" s="83">
        <v>0.5</v>
      </c>
      <c r="H41" s="88">
        <v>4320000</v>
      </c>
      <c r="I41" s="106"/>
    </row>
    <row r="42" spans="2:14" ht="15.75" thickBot="1" x14ac:dyDescent="0.3">
      <c r="B42" s="87" t="s">
        <v>118</v>
      </c>
      <c r="C42" s="82">
        <v>43922</v>
      </c>
      <c r="D42" s="83">
        <v>2320307</v>
      </c>
      <c r="E42" s="83">
        <v>2160000</v>
      </c>
      <c r="F42" s="83"/>
      <c r="G42" s="83">
        <v>0.5</v>
      </c>
      <c r="H42" s="88">
        <v>4320000</v>
      </c>
      <c r="I42" s="106"/>
    </row>
    <row r="43" spans="2:14" ht="15.75" thickBot="1" x14ac:dyDescent="0.3">
      <c r="B43" s="87" t="s">
        <v>118</v>
      </c>
      <c r="C43" s="82">
        <v>43952</v>
      </c>
      <c r="D43" s="83">
        <v>6218708</v>
      </c>
      <c r="E43" s="83">
        <v>3456000</v>
      </c>
      <c r="F43" s="83"/>
      <c r="G43" s="83">
        <v>0.8</v>
      </c>
      <c r="H43" s="88">
        <v>4320000</v>
      </c>
      <c r="I43" s="106"/>
    </row>
    <row r="44" spans="2:14" ht="15.75" thickBot="1" x14ac:dyDescent="0.3">
      <c r="B44" s="87" t="s">
        <v>118</v>
      </c>
      <c r="C44" s="82">
        <v>43983</v>
      </c>
      <c r="D44" s="83"/>
      <c r="E44" s="83"/>
      <c r="F44" s="83"/>
      <c r="G44" s="83">
        <v>0.93</v>
      </c>
      <c r="H44" s="88"/>
      <c r="I44" s="106"/>
    </row>
    <row r="45" spans="2:14" ht="15.75" thickBot="1" x14ac:dyDescent="0.3">
      <c r="B45" s="87" t="s">
        <v>118</v>
      </c>
      <c r="C45" s="82">
        <v>44013</v>
      </c>
      <c r="D45" s="83"/>
      <c r="E45" s="83"/>
      <c r="F45" s="83"/>
      <c r="G45" s="83"/>
      <c r="H45" s="88"/>
      <c r="I45" s="106"/>
    </row>
    <row r="46" spans="2:14" ht="15.75" thickBot="1" x14ac:dyDescent="0.3">
      <c r="B46" s="87" t="s">
        <v>118</v>
      </c>
      <c r="C46" s="82">
        <v>44044</v>
      </c>
      <c r="D46" s="83"/>
      <c r="E46" s="83"/>
      <c r="F46" s="83"/>
      <c r="G46" s="83"/>
      <c r="H46" s="88"/>
      <c r="I46" s="106"/>
    </row>
    <row r="47" spans="2:14" ht="15.75" thickBot="1" x14ac:dyDescent="0.3">
      <c r="B47" s="87" t="s">
        <v>118</v>
      </c>
      <c r="C47" s="82">
        <v>44075</v>
      </c>
      <c r="D47" s="83"/>
      <c r="E47" s="83"/>
      <c r="F47" s="83"/>
      <c r="G47" s="83"/>
      <c r="H47" s="88"/>
      <c r="I47" s="106"/>
    </row>
    <row r="48" spans="2:14" ht="15.75" thickBot="1" x14ac:dyDescent="0.3">
      <c r="B48" s="87" t="s">
        <v>118</v>
      </c>
      <c r="C48" s="82">
        <v>44105</v>
      </c>
      <c r="D48" s="83"/>
      <c r="E48" s="83"/>
      <c r="F48" s="83"/>
      <c r="G48" s="83"/>
      <c r="H48" s="88"/>
      <c r="I48" s="106"/>
    </row>
    <row r="49" spans="2:11" ht="15.75" thickBot="1" x14ac:dyDescent="0.3">
      <c r="B49" s="87" t="s">
        <v>118</v>
      </c>
      <c r="C49" s="82">
        <v>44136</v>
      </c>
      <c r="D49" s="83"/>
      <c r="E49" s="83"/>
      <c r="F49" s="83"/>
      <c r="G49" s="83"/>
      <c r="H49" s="88"/>
      <c r="I49" s="106"/>
    </row>
    <row r="50" spans="2:11" ht="15.75" thickBot="1" x14ac:dyDescent="0.3">
      <c r="B50" s="87" t="s">
        <v>118</v>
      </c>
      <c r="C50" s="82">
        <v>44166</v>
      </c>
      <c r="D50" s="99"/>
      <c r="E50" s="99"/>
      <c r="F50" s="99"/>
      <c r="G50" s="99"/>
      <c r="H50" s="100"/>
      <c r="I50" s="106"/>
    </row>
    <row r="51" spans="2:11" ht="15.75" thickBot="1" x14ac:dyDescent="0.3">
      <c r="B51" s="87" t="s">
        <v>124</v>
      </c>
      <c r="C51" s="82">
        <v>43831</v>
      </c>
      <c r="D51" s="99">
        <v>3127263</v>
      </c>
      <c r="E51" s="99">
        <v>3107790</v>
      </c>
      <c r="F51" s="83">
        <v>1.3</v>
      </c>
      <c r="G51" s="99">
        <v>1.29</v>
      </c>
      <c r="H51" s="100">
        <v>3828572</v>
      </c>
      <c r="I51" s="106"/>
    </row>
    <row r="52" spans="2:11" ht="15.75" thickBot="1" x14ac:dyDescent="0.3">
      <c r="B52" s="87" t="s">
        <v>124</v>
      </c>
      <c r="C52" s="82">
        <v>43862</v>
      </c>
      <c r="D52" s="83">
        <v>2944180</v>
      </c>
      <c r="E52" s="83">
        <v>2919918</v>
      </c>
      <c r="F52" s="83">
        <v>0.82</v>
      </c>
      <c r="G52" s="83">
        <v>0.8</v>
      </c>
      <c r="H52" s="100">
        <v>3828572</v>
      </c>
      <c r="I52" s="106"/>
    </row>
    <row r="53" spans="2:11" ht="15.75" thickBot="1" x14ac:dyDescent="0.3">
      <c r="B53" s="87" t="s">
        <v>124</v>
      </c>
      <c r="C53" s="82">
        <v>43891</v>
      </c>
      <c r="D53" s="83">
        <v>3666044</v>
      </c>
      <c r="E53" s="83">
        <v>3177715</v>
      </c>
      <c r="F53" s="83">
        <v>0.96</v>
      </c>
      <c r="G53" s="83">
        <v>0.83</v>
      </c>
      <c r="H53" s="100">
        <v>3828572</v>
      </c>
      <c r="I53" s="106"/>
    </row>
    <row r="54" spans="2:11" ht="15.75" thickBot="1" x14ac:dyDescent="0.3">
      <c r="B54" s="87" t="s">
        <v>124</v>
      </c>
      <c r="C54" s="82">
        <v>43922</v>
      </c>
      <c r="D54" s="83">
        <v>2487056</v>
      </c>
      <c r="E54" s="83">
        <v>2718286</v>
      </c>
      <c r="F54" s="83">
        <v>0.65</v>
      </c>
      <c r="G54" s="83">
        <v>0.71</v>
      </c>
      <c r="H54" s="100">
        <v>3828572</v>
      </c>
      <c r="I54" s="106"/>
    </row>
    <row r="55" spans="2:11" ht="15.75" thickBot="1" x14ac:dyDescent="0.3">
      <c r="B55" s="87" t="s">
        <v>124</v>
      </c>
      <c r="C55" s="82">
        <v>43952</v>
      </c>
      <c r="D55" s="83">
        <v>2390441</v>
      </c>
      <c r="E55" s="83">
        <v>2680000</v>
      </c>
      <c r="F55" s="99">
        <v>0.62</v>
      </c>
      <c r="G55" s="83">
        <v>0.7</v>
      </c>
      <c r="H55" s="100">
        <v>3828572</v>
      </c>
      <c r="I55" s="106"/>
      <c r="K55" s="89" t="e">
        <f>101/(fundo[[#This Row],[P/VPA]]/fundo[[#This Row],[Qntd. Cotas]])</f>
        <v>#DIV/0!</v>
      </c>
    </row>
    <row r="56" spans="2:11" ht="15.75" thickBot="1" x14ac:dyDescent="0.3">
      <c r="B56" s="87" t="s">
        <v>124</v>
      </c>
      <c r="C56" s="82">
        <v>43983</v>
      </c>
      <c r="D56" s="83"/>
      <c r="E56" s="83"/>
      <c r="F56" s="83"/>
      <c r="G56" s="83">
        <v>0.6</v>
      </c>
      <c r="H56" s="88"/>
      <c r="I56" s="106"/>
    </row>
    <row r="57" spans="2:11" ht="15.75" thickBot="1" x14ac:dyDescent="0.3">
      <c r="B57" s="87" t="s">
        <v>124</v>
      </c>
      <c r="C57" s="82">
        <v>44013</v>
      </c>
      <c r="D57" s="83"/>
      <c r="E57" s="83"/>
      <c r="F57" s="83"/>
      <c r="G57" s="83"/>
      <c r="H57" s="88"/>
      <c r="I57" s="106"/>
    </row>
    <row r="58" spans="2:11" ht="15.75" thickBot="1" x14ac:dyDescent="0.3">
      <c r="B58" s="87" t="s">
        <v>124</v>
      </c>
      <c r="C58" s="82">
        <v>44044</v>
      </c>
      <c r="D58" s="83"/>
      <c r="E58" s="83"/>
      <c r="F58" s="83"/>
      <c r="G58" s="83"/>
      <c r="H58" s="88"/>
      <c r="I58" s="106"/>
    </row>
    <row r="59" spans="2:11" ht="15.75" thickBot="1" x14ac:dyDescent="0.3">
      <c r="B59" s="87" t="s">
        <v>124</v>
      </c>
      <c r="C59" s="82">
        <v>44075</v>
      </c>
      <c r="D59" s="83"/>
      <c r="E59" s="83"/>
      <c r="F59" s="83"/>
      <c r="G59" s="83"/>
      <c r="H59" s="88"/>
      <c r="I59" s="106"/>
    </row>
    <row r="60" spans="2:11" ht="15.75" thickBot="1" x14ac:dyDescent="0.3">
      <c r="B60" s="87" t="s">
        <v>124</v>
      </c>
      <c r="C60" s="82">
        <v>44105</v>
      </c>
      <c r="D60" s="83"/>
      <c r="E60" s="83"/>
      <c r="F60" s="83"/>
      <c r="G60" s="83"/>
      <c r="H60" s="88"/>
      <c r="I60" s="106"/>
    </row>
    <row r="61" spans="2:11" ht="15.75" thickBot="1" x14ac:dyDescent="0.3">
      <c r="B61" s="87" t="s">
        <v>124</v>
      </c>
      <c r="C61" s="82">
        <v>44136</v>
      </c>
      <c r="D61" s="83"/>
      <c r="E61" s="83"/>
      <c r="F61" s="83"/>
      <c r="G61" s="83"/>
      <c r="H61" s="88"/>
      <c r="I61" s="106"/>
    </row>
    <row r="62" spans="2:11" ht="15.75" thickBot="1" x14ac:dyDescent="0.3">
      <c r="B62" s="87" t="s">
        <v>124</v>
      </c>
      <c r="C62" s="82">
        <v>44166</v>
      </c>
      <c r="D62" s="83"/>
      <c r="E62" s="83"/>
      <c r="F62" s="83"/>
      <c r="G62" s="83"/>
      <c r="H62" s="88"/>
      <c r="I62" s="106"/>
    </row>
    <row r="63" spans="2:11" ht="15.75" thickBot="1" x14ac:dyDescent="0.3">
      <c r="B63" s="101" t="s">
        <v>125</v>
      </c>
      <c r="C63" s="82">
        <v>43831</v>
      </c>
      <c r="D63" s="102">
        <v>7431426</v>
      </c>
      <c r="E63" s="102">
        <v>7403967</v>
      </c>
      <c r="F63" s="102"/>
      <c r="G63" s="102">
        <v>1.08</v>
      </c>
      <c r="H63" s="103">
        <v>6856389</v>
      </c>
      <c r="I63" s="136">
        <v>683513419</v>
      </c>
    </row>
    <row r="64" spans="2:11" ht="15.75" thickBot="1" x14ac:dyDescent="0.3">
      <c r="B64" s="101" t="s">
        <v>125</v>
      </c>
      <c r="C64" s="82">
        <v>43862</v>
      </c>
      <c r="D64" s="102">
        <v>6813829</v>
      </c>
      <c r="E64" s="102">
        <v>6855748</v>
      </c>
      <c r="F64" s="102"/>
      <c r="G64" s="102">
        <v>1</v>
      </c>
      <c r="H64" s="103">
        <v>6856389</v>
      </c>
      <c r="I64" s="136">
        <v>683513419</v>
      </c>
    </row>
    <row r="65" spans="2:9" ht="15.75" thickBot="1" x14ac:dyDescent="0.3">
      <c r="B65" s="101" t="s">
        <v>125</v>
      </c>
      <c r="C65" s="82">
        <v>43891</v>
      </c>
      <c r="D65" s="102">
        <v>5522287</v>
      </c>
      <c r="E65" s="102">
        <v>4799059</v>
      </c>
      <c r="F65" s="102"/>
      <c r="G65" s="102">
        <v>0.7</v>
      </c>
      <c r="H65" s="103">
        <v>6856389</v>
      </c>
      <c r="I65" s="136">
        <v>683513419</v>
      </c>
    </row>
    <row r="66" spans="2:9" ht="15.75" thickBot="1" x14ac:dyDescent="0.3">
      <c r="B66" s="101" t="s">
        <v>125</v>
      </c>
      <c r="C66" s="82">
        <v>43922</v>
      </c>
      <c r="D66" s="102">
        <v>4911818</v>
      </c>
      <c r="E66" s="102">
        <v>4799463</v>
      </c>
      <c r="F66" s="102"/>
      <c r="G66" s="102">
        <v>0.7</v>
      </c>
      <c r="H66" s="103">
        <v>6856389</v>
      </c>
      <c r="I66" s="136">
        <v>683513419</v>
      </c>
    </row>
    <row r="67" spans="2:9" ht="15.75" thickBot="1" x14ac:dyDescent="0.3">
      <c r="B67" s="101" t="s">
        <v>125</v>
      </c>
      <c r="C67" s="82">
        <v>43952</v>
      </c>
      <c r="D67" s="102">
        <v>5351206</v>
      </c>
      <c r="E67" s="102">
        <v>4799472</v>
      </c>
      <c r="F67" s="102"/>
      <c r="G67" s="102">
        <v>0.7</v>
      </c>
      <c r="H67" s="103">
        <v>6856389</v>
      </c>
      <c r="I67" s="136">
        <v>683513419</v>
      </c>
    </row>
    <row r="68" spans="2:9" ht="15.75" thickBot="1" x14ac:dyDescent="0.3">
      <c r="B68" s="101" t="s">
        <v>125</v>
      </c>
      <c r="C68" s="82">
        <v>43983</v>
      </c>
      <c r="D68" s="102"/>
      <c r="E68" s="102"/>
      <c r="F68" s="102"/>
      <c r="G68" s="102">
        <f>P6</f>
        <v>0.98436346887552606</v>
      </c>
      <c r="H68" s="103"/>
      <c r="I68" s="106"/>
    </row>
    <row r="69" spans="2:9" ht="15.75" thickBot="1" x14ac:dyDescent="0.3">
      <c r="B69" s="101" t="s">
        <v>125</v>
      </c>
      <c r="C69" s="82">
        <v>44013</v>
      </c>
      <c r="D69" s="102"/>
      <c r="E69" s="102"/>
      <c r="F69" s="102"/>
      <c r="G69" s="102"/>
      <c r="H69" s="103"/>
      <c r="I69" s="106"/>
    </row>
    <row r="70" spans="2:9" ht="15.75" thickBot="1" x14ac:dyDescent="0.3">
      <c r="B70" s="101" t="s">
        <v>125</v>
      </c>
      <c r="C70" s="82">
        <v>44044</v>
      </c>
      <c r="D70" s="102"/>
      <c r="E70" s="102"/>
      <c r="F70" s="102"/>
      <c r="G70" s="102"/>
      <c r="H70" s="103"/>
      <c r="I70" s="106"/>
    </row>
    <row r="71" spans="2:9" ht="15.75" thickBot="1" x14ac:dyDescent="0.3">
      <c r="B71" s="101" t="s">
        <v>125</v>
      </c>
      <c r="C71" s="82">
        <v>44075</v>
      </c>
      <c r="D71" s="102"/>
      <c r="E71" s="102"/>
      <c r="F71" s="102"/>
      <c r="G71" s="102"/>
      <c r="H71" s="103"/>
      <c r="I71" s="106"/>
    </row>
    <row r="72" spans="2:9" ht="15.75" thickBot="1" x14ac:dyDescent="0.3">
      <c r="B72" s="101" t="s">
        <v>125</v>
      </c>
      <c r="C72" s="82">
        <v>44105</v>
      </c>
      <c r="D72" s="102"/>
      <c r="E72" s="102"/>
      <c r="F72" s="102"/>
      <c r="G72" s="102"/>
      <c r="H72" s="103"/>
      <c r="I72" s="106"/>
    </row>
    <row r="73" spans="2:9" ht="15.75" thickBot="1" x14ac:dyDescent="0.3">
      <c r="B73" s="101" t="s">
        <v>125</v>
      </c>
      <c r="C73" s="82">
        <v>44136</v>
      </c>
      <c r="D73" s="102"/>
      <c r="E73" s="102"/>
      <c r="F73" s="102"/>
      <c r="G73" s="102"/>
      <c r="H73" s="103"/>
      <c r="I73" s="106"/>
    </row>
    <row r="74" spans="2:9" ht="15.75" thickBot="1" x14ac:dyDescent="0.3">
      <c r="B74" s="101" t="s">
        <v>125</v>
      </c>
      <c r="C74" s="82">
        <v>44166</v>
      </c>
      <c r="D74" s="104"/>
      <c r="E74" s="104"/>
      <c r="F74" s="104"/>
      <c r="G74" s="104"/>
      <c r="H74" s="105"/>
      <c r="I74" s="107"/>
    </row>
  </sheetData>
  <pageMargins left="0.7" right="0.7" top="0.75" bottom="0.75" header="0.3" footer="0.3"/>
  <pageSetup paperSize="9" orientation="portrait" horizontalDpi="300" verticalDpi="300" r:id="rId3"/>
  <drawing r:id="rId4"/>
  <picture r:id="rId5"/>
  <tableParts count="1">
    <tablePart r:id="rId6"/>
  </tableParts>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5"/>
  <sheetViews>
    <sheetView topLeftCell="B13" workbookViewId="0">
      <selection activeCell="C28" sqref="C28"/>
    </sheetView>
  </sheetViews>
  <sheetFormatPr defaultRowHeight="15" x14ac:dyDescent="0.25"/>
  <cols>
    <col min="1" max="1" width="0" hidden="1" customWidth="1"/>
    <col min="2" max="5" width="14.28515625" customWidth="1"/>
  </cols>
  <sheetData>
    <row r="1" spans="1:5" x14ac:dyDescent="0.25">
      <c r="A1" t="s">
        <v>90</v>
      </c>
    </row>
    <row r="3" spans="1:5" x14ac:dyDescent="0.25">
      <c r="A3">
        <v>1</v>
      </c>
      <c r="B3" t="s">
        <v>4</v>
      </c>
      <c r="C3" t="s">
        <v>91</v>
      </c>
      <c r="D3" t="s">
        <v>92</v>
      </c>
      <c r="E3" t="s">
        <v>10</v>
      </c>
    </row>
    <row r="4" spans="1:5" x14ac:dyDescent="0.25">
      <c r="A4">
        <v>2</v>
      </c>
      <c r="B4" t="s">
        <v>8</v>
      </c>
      <c r="C4" t="s">
        <v>93</v>
      </c>
      <c r="D4" t="s">
        <v>94</v>
      </c>
      <c r="E4">
        <v>23.56</v>
      </c>
    </row>
    <row r="5" spans="1:5" x14ac:dyDescent="0.25">
      <c r="A5">
        <v>3</v>
      </c>
      <c r="B5" t="s">
        <v>8</v>
      </c>
      <c r="C5" t="s">
        <v>43</v>
      </c>
      <c r="D5" t="s">
        <v>95</v>
      </c>
      <c r="E5">
        <v>11.15</v>
      </c>
    </row>
    <row r="6" spans="1:5" x14ac:dyDescent="0.25">
      <c r="A6">
        <v>4</v>
      </c>
      <c r="B6" t="s">
        <v>8</v>
      </c>
      <c r="C6" t="s">
        <v>22</v>
      </c>
      <c r="D6" t="s">
        <v>96</v>
      </c>
      <c r="E6">
        <v>10.61</v>
      </c>
    </row>
    <row r="7" spans="1:5" x14ac:dyDescent="0.25">
      <c r="A7">
        <v>5</v>
      </c>
      <c r="B7" t="s">
        <v>8</v>
      </c>
      <c r="C7" t="s">
        <v>89</v>
      </c>
      <c r="D7" t="s">
        <v>97</v>
      </c>
      <c r="E7">
        <v>8.1199999999999992</v>
      </c>
    </row>
    <row r="8" spans="1:5" x14ac:dyDescent="0.25">
      <c r="A8">
        <v>6</v>
      </c>
      <c r="B8" t="s">
        <v>40</v>
      </c>
      <c r="C8" t="s">
        <v>82</v>
      </c>
      <c r="D8" t="s">
        <v>82</v>
      </c>
      <c r="E8">
        <v>114.6</v>
      </c>
    </row>
    <row r="9" spans="1:5" x14ac:dyDescent="0.25">
      <c r="A9">
        <v>7</v>
      </c>
      <c r="B9" t="s">
        <v>8</v>
      </c>
      <c r="C9" t="s">
        <v>2</v>
      </c>
      <c r="D9" t="s">
        <v>98</v>
      </c>
      <c r="E9">
        <v>9.1300000000000008</v>
      </c>
    </row>
    <row r="10" spans="1:5" x14ac:dyDescent="0.25">
      <c r="A10">
        <v>8</v>
      </c>
      <c r="B10" t="s">
        <v>8</v>
      </c>
      <c r="C10" t="s">
        <v>3</v>
      </c>
      <c r="D10" t="s">
        <v>99</v>
      </c>
      <c r="E10">
        <v>9.98</v>
      </c>
    </row>
    <row r="11" spans="1:5" x14ac:dyDescent="0.25">
      <c r="A11">
        <v>9</v>
      </c>
      <c r="B11" t="s">
        <v>8</v>
      </c>
      <c r="C11" t="s">
        <v>20</v>
      </c>
      <c r="D11" t="s">
        <v>85</v>
      </c>
      <c r="E11">
        <v>26.47</v>
      </c>
    </row>
    <row r="12" spans="1:5" x14ac:dyDescent="0.25">
      <c r="A12">
        <v>10</v>
      </c>
      <c r="B12" t="s">
        <v>8</v>
      </c>
      <c r="C12" t="s">
        <v>24</v>
      </c>
      <c r="D12" t="s">
        <v>100</v>
      </c>
      <c r="E12">
        <v>8.6300000000000008</v>
      </c>
    </row>
    <row r="13" spans="1:5" x14ac:dyDescent="0.25">
      <c r="A13">
        <v>11</v>
      </c>
      <c r="B13" t="s">
        <v>40</v>
      </c>
      <c r="C13" t="s">
        <v>81</v>
      </c>
      <c r="D13" t="s">
        <v>101</v>
      </c>
      <c r="E13">
        <v>20.56</v>
      </c>
    </row>
    <row r="14" spans="1:5" x14ac:dyDescent="0.25">
      <c r="A14">
        <v>12</v>
      </c>
      <c r="B14" t="s">
        <v>8</v>
      </c>
      <c r="C14" t="s">
        <v>1</v>
      </c>
      <c r="D14" t="s">
        <v>102</v>
      </c>
      <c r="E14">
        <v>18.8</v>
      </c>
    </row>
    <row r="15" spans="1:5" x14ac:dyDescent="0.25">
      <c r="A15">
        <v>13</v>
      </c>
      <c r="B15" t="s">
        <v>40</v>
      </c>
      <c r="C15" t="s">
        <v>33</v>
      </c>
      <c r="D15" t="s">
        <v>33</v>
      </c>
      <c r="E15">
        <v>10.98</v>
      </c>
    </row>
    <row r="16" spans="1:5" x14ac:dyDescent="0.25">
      <c r="A16">
        <v>14</v>
      </c>
      <c r="B16" t="s">
        <v>40</v>
      </c>
      <c r="C16" t="s">
        <v>39</v>
      </c>
      <c r="D16" t="s">
        <v>39</v>
      </c>
      <c r="E16">
        <v>101.87</v>
      </c>
    </row>
    <row r="17" spans="1:5" x14ac:dyDescent="0.25">
      <c r="A17">
        <v>15</v>
      </c>
      <c r="B17" t="s">
        <v>8</v>
      </c>
      <c r="C17" t="s">
        <v>48</v>
      </c>
      <c r="D17" t="s">
        <v>103</v>
      </c>
      <c r="E17">
        <v>14.04</v>
      </c>
    </row>
    <row r="18" spans="1:5" x14ac:dyDescent="0.25">
      <c r="A18">
        <v>16</v>
      </c>
      <c r="B18" t="s">
        <v>8</v>
      </c>
      <c r="C18" t="s">
        <v>41</v>
      </c>
      <c r="D18" t="s">
        <v>104</v>
      </c>
      <c r="E18">
        <v>6.17</v>
      </c>
    </row>
    <row r="19" spans="1:5" x14ac:dyDescent="0.25">
      <c r="A19">
        <v>17</v>
      </c>
      <c r="B19" t="s">
        <v>8</v>
      </c>
      <c r="C19" t="s">
        <v>88</v>
      </c>
      <c r="D19" t="s">
        <v>105</v>
      </c>
      <c r="E19">
        <v>5.8</v>
      </c>
    </row>
    <row r="20" spans="1:5" x14ac:dyDescent="0.25">
      <c r="A20">
        <v>18</v>
      </c>
      <c r="B20" t="s">
        <v>87</v>
      </c>
      <c r="C20" t="s">
        <v>63</v>
      </c>
      <c r="D20" t="s">
        <v>106</v>
      </c>
      <c r="E20">
        <v>35.869999999999997</v>
      </c>
    </row>
    <row r="21" spans="1:5" x14ac:dyDescent="0.25">
      <c r="A21">
        <v>19</v>
      </c>
      <c r="B21" t="s">
        <v>8</v>
      </c>
      <c r="C21" t="s">
        <v>38</v>
      </c>
      <c r="D21" t="s">
        <v>84</v>
      </c>
      <c r="E21">
        <v>7.35</v>
      </c>
    </row>
    <row r="22" spans="1:5" x14ac:dyDescent="0.25">
      <c r="A22">
        <v>20</v>
      </c>
      <c r="B22" t="s">
        <v>8</v>
      </c>
      <c r="C22" t="s">
        <v>12</v>
      </c>
      <c r="D22" t="s">
        <v>107</v>
      </c>
      <c r="E22">
        <v>10.8</v>
      </c>
    </row>
    <row r="23" spans="1:5" x14ac:dyDescent="0.25">
      <c r="A23">
        <v>21</v>
      </c>
      <c r="B23" t="s">
        <v>40</v>
      </c>
      <c r="C23" t="s">
        <v>125</v>
      </c>
      <c r="D23" t="s">
        <v>125</v>
      </c>
      <c r="E23">
        <v>101.99</v>
      </c>
    </row>
    <row r="24" spans="1:5" x14ac:dyDescent="0.25">
      <c r="A24">
        <v>22</v>
      </c>
      <c r="B24" t="s">
        <v>8</v>
      </c>
      <c r="C24" t="s">
        <v>135</v>
      </c>
      <c r="D24" t="s">
        <v>136</v>
      </c>
      <c r="E24">
        <v>15.01</v>
      </c>
    </row>
    <row r="25" spans="1:5" x14ac:dyDescent="0.25">
      <c r="A25" t="s">
        <v>108</v>
      </c>
    </row>
  </sheetData>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9"/>
  <sheetViews>
    <sheetView showGridLines="0" topLeftCell="A32" workbookViewId="0">
      <selection activeCell="C54" sqref="C54"/>
    </sheetView>
  </sheetViews>
  <sheetFormatPr defaultRowHeight="15" x14ac:dyDescent="0.25"/>
  <cols>
    <col min="1" max="1" width="13.7109375" style="15" customWidth="1"/>
    <col min="2" max="2" width="16.28515625" style="15" customWidth="1"/>
    <col min="3" max="3" width="10.5703125" style="15" bestFit="1" customWidth="1"/>
    <col min="4" max="4" width="12.85546875" style="15" customWidth="1"/>
    <col min="5" max="5" width="12.140625" style="15" bestFit="1" customWidth="1"/>
    <col min="6" max="7" width="11.28515625" style="15" bestFit="1" customWidth="1"/>
    <col min="8" max="8" width="12.140625" style="15" bestFit="1" customWidth="1"/>
    <col min="9" max="9" width="12" style="15" customWidth="1"/>
    <col min="10" max="10" width="3.28515625" style="15" customWidth="1"/>
    <col min="11" max="16384" width="9.140625" style="15"/>
  </cols>
  <sheetData>
    <row r="1" spans="1:9" x14ac:dyDescent="0.25">
      <c r="A1" s="15" t="s">
        <v>58</v>
      </c>
      <c r="B1" s="15" t="s">
        <v>59</v>
      </c>
      <c r="C1" s="15" t="s">
        <v>18</v>
      </c>
      <c r="D1" s="15" t="s">
        <v>55</v>
      </c>
      <c r="E1" s="15" t="s">
        <v>60</v>
      </c>
      <c r="F1" s="15" t="s">
        <v>4</v>
      </c>
      <c r="G1" s="15" t="s">
        <v>9</v>
      </c>
      <c r="H1" s="15" t="s">
        <v>10</v>
      </c>
      <c r="I1" s="15" t="s">
        <v>5</v>
      </c>
    </row>
    <row r="2" spans="1:9" x14ac:dyDescent="0.25">
      <c r="A2" s="16">
        <v>43921</v>
      </c>
      <c r="B2" s="16">
        <v>43929</v>
      </c>
      <c r="C2" s="16" t="s">
        <v>16</v>
      </c>
      <c r="D2" s="16" t="s">
        <v>7</v>
      </c>
      <c r="E2" s="15" t="s">
        <v>0</v>
      </c>
      <c r="F2" s="15" t="s">
        <v>14</v>
      </c>
      <c r="G2" s="15">
        <v>5</v>
      </c>
      <c r="H2" s="25">
        <v>0.02</v>
      </c>
      <c r="I2" s="25">
        <f>payload[PREÇO]*payload[QNTD]</f>
        <v>0.1</v>
      </c>
    </row>
    <row r="3" spans="1:9" x14ac:dyDescent="0.25">
      <c r="A3" s="19">
        <v>43935</v>
      </c>
      <c r="B3" s="19">
        <v>43927</v>
      </c>
      <c r="C3" s="19" t="s">
        <v>16</v>
      </c>
      <c r="D3" s="19" t="s">
        <v>21</v>
      </c>
      <c r="E3" s="20" t="s">
        <v>36</v>
      </c>
      <c r="F3" s="20" t="s">
        <v>35</v>
      </c>
      <c r="G3" s="20">
        <v>1</v>
      </c>
      <c r="H3" s="26">
        <v>-29.9</v>
      </c>
      <c r="I3" s="26">
        <f>payload[PREÇO]*payload[QNTD]</f>
        <v>-29.9</v>
      </c>
    </row>
    <row r="4" spans="1:9" x14ac:dyDescent="0.25">
      <c r="A4" s="19">
        <v>43935</v>
      </c>
      <c r="B4" s="19">
        <v>43931</v>
      </c>
      <c r="C4" s="19" t="s">
        <v>16</v>
      </c>
      <c r="D4" s="19" t="s">
        <v>21</v>
      </c>
      <c r="E4" s="20" t="s">
        <v>36</v>
      </c>
      <c r="F4" s="20" t="s">
        <v>37</v>
      </c>
      <c r="G4" s="20">
        <v>1</v>
      </c>
      <c r="H4" s="26">
        <v>-44.99</v>
      </c>
      <c r="I4" s="26">
        <f>payload[PREÇO]*payload[QNTD]</f>
        <v>-44.99</v>
      </c>
    </row>
    <row r="5" spans="1:9" x14ac:dyDescent="0.25">
      <c r="A5" s="21">
        <v>43944</v>
      </c>
      <c r="B5" s="21">
        <f>payload[[#This Row],[DATA COM]]+2</f>
        <v>43946</v>
      </c>
      <c r="C5" s="21" t="s">
        <v>16</v>
      </c>
      <c r="D5" s="21" t="s">
        <v>7</v>
      </c>
      <c r="E5" s="22" t="s">
        <v>0</v>
      </c>
      <c r="F5" s="22" t="s">
        <v>42</v>
      </c>
      <c r="G5" s="22">
        <v>8</v>
      </c>
      <c r="H5" s="27">
        <v>9.75</v>
      </c>
      <c r="I5" s="27">
        <v>1.1359999999999957</v>
      </c>
    </row>
    <row r="6" spans="1:9" x14ac:dyDescent="0.25">
      <c r="A6" s="21">
        <v>43946</v>
      </c>
      <c r="B6" s="21">
        <v>43946</v>
      </c>
      <c r="C6" s="21" t="s">
        <v>16</v>
      </c>
      <c r="D6" s="21" t="s">
        <v>21</v>
      </c>
      <c r="E6" s="22" t="s">
        <v>36</v>
      </c>
      <c r="F6" s="22" t="s">
        <v>44</v>
      </c>
      <c r="G6" s="22">
        <v>1</v>
      </c>
      <c r="H6" s="27">
        <v>-400</v>
      </c>
      <c r="I6" s="27">
        <f>payload[PREÇO]*payload[QNTD]</f>
        <v>-400</v>
      </c>
    </row>
    <row r="7" spans="1:9" x14ac:dyDescent="0.25">
      <c r="A7" s="21">
        <v>43946</v>
      </c>
      <c r="B7" s="21">
        <v>43946</v>
      </c>
      <c r="C7" s="21" t="s">
        <v>16</v>
      </c>
      <c r="D7" s="21" t="s">
        <v>21</v>
      </c>
      <c r="E7" s="22" t="s">
        <v>36</v>
      </c>
      <c r="F7" s="22" t="s">
        <v>45</v>
      </c>
      <c r="G7" s="22">
        <v>1</v>
      </c>
      <c r="H7" s="27">
        <v>0.1</v>
      </c>
      <c r="I7" s="27">
        <f>payload[PREÇO]*payload[QNTD]</f>
        <v>0.1</v>
      </c>
    </row>
    <row r="8" spans="1:9" x14ac:dyDescent="0.25">
      <c r="A8" s="21">
        <v>43944</v>
      </c>
      <c r="B8" s="21">
        <v>43944</v>
      </c>
      <c r="C8" s="21" t="s">
        <v>16</v>
      </c>
      <c r="D8" s="21" t="s">
        <v>21</v>
      </c>
      <c r="E8" s="22" t="s">
        <v>36</v>
      </c>
      <c r="F8" s="22" t="s">
        <v>45</v>
      </c>
      <c r="G8" s="22">
        <v>1</v>
      </c>
      <c r="H8" s="27">
        <v>-40</v>
      </c>
      <c r="I8" s="27">
        <f>payload[PREÇO]*payload[QNTD]</f>
        <v>-40</v>
      </c>
    </row>
    <row r="9" spans="1:9" x14ac:dyDescent="0.25">
      <c r="A9" s="21">
        <v>43946</v>
      </c>
      <c r="B9" s="21">
        <v>43948</v>
      </c>
      <c r="C9" s="21" t="s">
        <v>16</v>
      </c>
      <c r="D9" s="21" t="s">
        <v>21</v>
      </c>
      <c r="E9" s="22" t="s">
        <v>36</v>
      </c>
      <c r="F9" s="22" t="s">
        <v>44</v>
      </c>
      <c r="G9" s="22">
        <v>1</v>
      </c>
      <c r="H9" s="27">
        <v>-20</v>
      </c>
      <c r="I9" s="27">
        <f>payload[PREÇO]*payload[QNTD]</f>
        <v>-20</v>
      </c>
    </row>
    <row r="10" spans="1:9" x14ac:dyDescent="0.25">
      <c r="A10" s="21">
        <v>43891</v>
      </c>
      <c r="B10" s="21">
        <v>43891</v>
      </c>
      <c r="C10" s="21" t="s">
        <v>15</v>
      </c>
      <c r="D10" s="21" t="s">
        <v>46</v>
      </c>
      <c r="E10" s="22" t="s">
        <v>36</v>
      </c>
      <c r="F10" s="22" t="s">
        <v>47</v>
      </c>
      <c r="G10" s="22">
        <v>1</v>
      </c>
      <c r="H10" s="27">
        <v>16</v>
      </c>
      <c r="I10" s="27">
        <f>payload[PREÇO]*payload[QNTD]</f>
        <v>16</v>
      </c>
    </row>
    <row r="11" spans="1:9" x14ac:dyDescent="0.25">
      <c r="A11" s="21">
        <v>43891</v>
      </c>
      <c r="B11" s="21">
        <v>43891</v>
      </c>
      <c r="C11" s="21" t="s">
        <v>15</v>
      </c>
      <c r="D11" s="21" t="s">
        <v>46</v>
      </c>
      <c r="E11" s="22" t="s">
        <v>36</v>
      </c>
      <c r="F11" s="22" t="s">
        <v>47</v>
      </c>
      <c r="G11" s="22">
        <v>1</v>
      </c>
      <c r="H11" s="27">
        <v>20</v>
      </c>
      <c r="I11" s="27">
        <f>payload[PREÇO]*payload[QNTD]</f>
        <v>20</v>
      </c>
    </row>
    <row r="12" spans="1:9" x14ac:dyDescent="0.25">
      <c r="A12" s="21">
        <v>43891</v>
      </c>
      <c r="B12" s="21">
        <v>43891</v>
      </c>
      <c r="C12" s="21" t="s">
        <v>15</v>
      </c>
      <c r="D12" s="21" t="s">
        <v>46</v>
      </c>
      <c r="E12" s="22" t="s">
        <v>36</v>
      </c>
      <c r="F12" s="22" t="s">
        <v>47</v>
      </c>
      <c r="G12" s="22">
        <v>1</v>
      </c>
      <c r="H12" s="27">
        <v>32</v>
      </c>
      <c r="I12" s="27">
        <f>payload[PREÇO]*payload[QNTD]</f>
        <v>32</v>
      </c>
    </row>
    <row r="13" spans="1:9" x14ac:dyDescent="0.25">
      <c r="A13" s="21">
        <v>43891</v>
      </c>
      <c r="B13" s="21">
        <v>43891</v>
      </c>
      <c r="C13" s="21" t="s">
        <v>15</v>
      </c>
      <c r="D13" s="21" t="s">
        <v>46</v>
      </c>
      <c r="E13" s="22" t="s">
        <v>36</v>
      </c>
      <c r="F13" s="22" t="s">
        <v>47</v>
      </c>
      <c r="G13" s="22">
        <v>1</v>
      </c>
      <c r="H13" s="27">
        <v>275</v>
      </c>
      <c r="I13" s="27">
        <f>payload[PREÇO]*payload[QNTD]</f>
        <v>275</v>
      </c>
    </row>
    <row r="14" spans="1:9" x14ac:dyDescent="0.25">
      <c r="A14" s="21">
        <v>43891</v>
      </c>
      <c r="B14" s="21">
        <v>43891</v>
      </c>
      <c r="C14" s="21" t="s">
        <v>15</v>
      </c>
      <c r="D14" s="21" t="s">
        <v>46</v>
      </c>
      <c r="E14" s="22" t="s">
        <v>36</v>
      </c>
      <c r="F14" s="22" t="s">
        <v>47</v>
      </c>
      <c r="G14" s="22">
        <v>1</v>
      </c>
      <c r="H14" s="27">
        <v>4.9800000000000004</v>
      </c>
      <c r="I14" s="27">
        <f>payload[PREÇO]*payload[QNTD]</f>
        <v>4.9800000000000004</v>
      </c>
    </row>
    <row r="15" spans="1:9" x14ac:dyDescent="0.25">
      <c r="A15" s="21">
        <v>43891</v>
      </c>
      <c r="B15" s="21">
        <v>43891</v>
      </c>
      <c r="C15" s="21" t="s">
        <v>15</v>
      </c>
      <c r="D15" s="21" t="s">
        <v>46</v>
      </c>
      <c r="E15" s="22" t="s">
        <v>36</v>
      </c>
      <c r="F15" s="22" t="s">
        <v>47</v>
      </c>
      <c r="G15" s="22">
        <v>1</v>
      </c>
      <c r="H15" s="27">
        <v>100</v>
      </c>
      <c r="I15" s="27">
        <f>payload[PREÇO]*payload[QNTD]</f>
        <v>100</v>
      </c>
    </row>
    <row r="16" spans="1:9" x14ac:dyDescent="0.25">
      <c r="A16" s="21">
        <v>43891</v>
      </c>
      <c r="B16" s="21">
        <v>43891</v>
      </c>
      <c r="C16" s="21" t="s">
        <v>15</v>
      </c>
      <c r="D16" s="21" t="s">
        <v>46</v>
      </c>
      <c r="E16" s="22" t="s">
        <v>36</v>
      </c>
      <c r="F16" s="22" t="s">
        <v>47</v>
      </c>
      <c r="G16" s="22">
        <v>1</v>
      </c>
      <c r="H16" s="27">
        <v>150</v>
      </c>
      <c r="I16" s="27">
        <f>payload[PREÇO]*payload[QNTD]</f>
        <v>150</v>
      </c>
    </row>
    <row r="17" spans="1:9" x14ac:dyDescent="0.25">
      <c r="A17" s="21">
        <v>43891</v>
      </c>
      <c r="B17" s="21">
        <v>43891</v>
      </c>
      <c r="C17" s="21" t="s">
        <v>15</v>
      </c>
      <c r="D17" s="21" t="s">
        <v>46</v>
      </c>
      <c r="E17" s="22" t="s">
        <v>36</v>
      </c>
      <c r="F17" s="22" t="s">
        <v>47</v>
      </c>
      <c r="G17" s="22">
        <v>1</v>
      </c>
      <c r="H17" s="27">
        <v>380</v>
      </c>
      <c r="I17" s="27">
        <f>payload[PREÇO]*payload[QNTD]</f>
        <v>380</v>
      </c>
    </row>
    <row r="18" spans="1:9" x14ac:dyDescent="0.25">
      <c r="A18" s="21">
        <v>43928</v>
      </c>
      <c r="B18" s="21">
        <v>43928</v>
      </c>
      <c r="C18" s="21" t="s">
        <v>16</v>
      </c>
      <c r="D18" s="21" t="s">
        <v>46</v>
      </c>
      <c r="E18" s="22" t="s">
        <v>36</v>
      </c>
      <c r="F18" s="22" t="s">
        <v>47</v>
      </c>
      <c r="G18" s="22">
        <v>1</v>
      </c>
      <c r="H18" s="27">
        <v>100</v>
      </c>
      <c r="I18" s="27">
        <f>payload[PREÇO]*payload[QNTD]</f>
        <v>100</v>
      </c>
    </row>
    <row r="19" spans="1:9" x14ac:dyDescent="0.25">
      <c r="A19" s="21">
        <v>43934</v>
      </c>
      <c r="B19" s="21">
        <v>43934</v>
      </c>
      <c r="C19" s="21" t="s">
        <v>16</v>
      </c>
      <c r="D19" s="21" t="s">
        <v>46</v>
      </c>
      <c r="E19" s="22" t="s">
        <v>36</v>
      </c>
      <c r="F19" s="22" t="s">
        <v>47</v>
      </c>
      <c r="G19" s="22">
        <v>1</v>
      </c>
      <c r="H19" s="27">
        <v>100</v>
      </c>
      <c r="I19" s="27">
        <f>payload[PREÇO]*payload[QNTD]</f>
        <v>100</v>
      </c>
    </row>
    <row r="20" spans="1:9" x14ac:dyDescent="0.25">
      <c r="A20" s="21">
        <v>43934</v>
      </c>
      <c r="B20" s="21">
        <v>43934</v>
      </c>
      <c r="C20" s="21" t="s">
        <v>16</v>
      </c>
      <c r="D20" s="21" t="s">
        <v>46</v>
      </c>
      <c r="E20" s="22" t="s">
        <v>36</v>
      </c>
      <c r="F20" s="22" t="s">
        <v>47</v>
      </c>
      <c r="G20" s="22">
        <v>1</v>
      </c>
      <c r="H20" s="27">
        <v>253</v>
      </c>
      <c r="I20" s="27">
        <f>payload[PREÇO]*payload[QNTD]</f>
        <v>253</v>
      </c>
    </row>
    <row r="21" spans="1:9" x14ac:dyDescent="0.25">
      <c r="A21" s="21">
        <v>43936</v>
      </c>
      <c r="B21" s="21">
        <v>43936</v>
      </c>
      <c r="C21" s="21" t="s">
        <v>16</v>
      </c>
      <c r="D21" s="21" t="s">
        <v>46</v>
      </c>
      <c r="E21" s="22" t="s">
        <v>36</v>
      </c>
      <c r="F21" s="22" t="s">
        <v>47</v>
      </c>
      <c r="G21" s="22">
        <v>1</v>
      </c>
      <c r="H21" s="27">
        <v>250</v>
      </c>
      <c r="I21" s="27">
        <f>payload[PREÇO]*payload[QNTD]</f>
        <v>250</v>
      </c>
    </row>
    <row r="22" spans="1:9" x14ac:dyDescent="0.25">
      <c r="A22" s="21">
        <v>43937</v>
      </c>
      <c r="B22" s="21">
        <v>43937</v>
      </c>
      <c r="C22" s="21" t="s">
        <v>16</v>
      </c>
      <c r="D22" s="21" t="s">
        <v>46</v>
      </c>
      <c r="E22" s="22" t="s">
        <v>36</v>
      </c>
      <c r="F22" s="22" t="s">
        <v>47</v>
      </c>
      <c r="G22" s="22">
        <v>1</v>
      </c>
      <c r="H22" s="27">
        <v>1000</v>
      </c>
      <c r="I22" s="27">
        <f>payload[PREÇO]*payload[QNTD]</f>
        <v>1000</v>
      </c>
    </row>
    <row r="23" spans="1:9" x14ac:dyDescent="0.25">
      <c r="A23" s="21">
        <v>43937</v>
      </c>
      <c r="B23" s="21">
        <v>43937</v>
      </c>
      <c r="C23" s="21" t="s">
        <v>16</v>
      </c>
      <c r="D23" s="21" t="s">
        <v>46</v>
      </c>
      <c r="E23" s="22" t="s">
        <v>36</v>
      </c>
      <c r="F23" s="22" t="s">
        <v>47</v>
      </c>
      <c r="G23" s="22">
        <v>1</v>
      </c>
      <c r="H23" s="27">
        <v>3000</v>
      </c>
      <c r="I23" s="27">
        <f>payload[PREÇO]*payload[QNTD]</f>
        <v>3000</v>
      </c>
    </row>
    <row r="24" spans="1:9" x14ac:dyDescent="0.25">
      <c r="A24" s="21">
        <v>43948</v>
      </c>
      <c r="B24" s="21">
        <v>43948</v>
      </c>
      <c r="C24" s="21" t="s">
        <v>16</v>
      </c>
      <c r="D24" s="21" t="s">
        <v>46</v>
      </c>
      <c r="E24" s="22" t="s">
        <v>36</v>
      </c>
      <c r="F24" s="22" t="s">
        <v>47</v>
      </c>
      <c r="G24" s="22">
        <v>1</v>
      </c>
      <c r="H24" s="27">
        <v>500.02</v>
      </c>
      <c r="I24" s="27">
        <f>payload[PREÇO]*payload[QNTD]</f>
        <v>500.02</v>
      </c>
    </row>
    <row r="25" spans="1:9" x14ac:dyDescent="0.25">
      <c r="A25" s="17">
        <v>43955</v>
      </c>
      <c r="B25" s="17">
        <v>43955</v>
      </c>
      <c r="C25" s="17" t="s">
        <v>17</v>
      </c>
      <c r="D25" s="17" t="s">
        <v>46</v>
      </c>
      <c r="E25" s="18" t="s">
        <v>36</v>
      </c>
      <c r="F25" s="15" t="s">
        <v>45</v>
      </c>
      <c r="G25" s="18">
        <v>1</v>
      </c>
      <c r="H25" s="28">
        <v>40</v>
      </c>
      <c r="I25" s="28">
        <f>payload[PREÇO]*payload[QNTD]</f>
        <v>40</v>
      </c>
    </row>
    <row r="26" spans="1:9" x14ac:dyDescent="0.25">
      <c r="A26" s="17">
        <v>43956</v>
      </c>
      <c r="B26" s="17">
        <v>43957</v>
      </c>
      <c r="C26" s="17" t="s">
        <v>17</v>
      </c>
      <c r="D26" s="17" t="s">
        <v>46</v>
      </c>
      <c r="E26" s="18" t="s">
        <v>36</v>
      </c>
      <c r="F26" s="18" t="s">
        <v>47</v>
      </c>
      <c r="G26" s="18">
        <v>1</v>
      </c>
      <c r="H26" s="28">
        <v>200</v>
      </c>
      <c r="I26" s="28">
        <f>payload[PREÇO]*payload[QNTD]</f>
        <v>200</v>
      </c>
    </row>
    <row r="27" spans="1:9" x14ac:dyDescent="0.25">
      <c r="A27" s="16">
        <v>43949</v>
      </c>
      <c r="B27" s="16">
        <v>43949</v>
      </c>
      <c r="C27" s="16" t="s">
        <v>16</v>
      </c>
      <c r="D27" s="16" t="s">
        <v>21</v>
      </c>
      <c r="E27" s="15" t="s">
        <v>61</v>
      </c>
      <c r="F27" s="15" t="s">
        <v>47</v>
      </c>
      <c r="G27" s="15">
        <v>1</v>
      </c>
      <c r="H27" s="25">
        <v>-52</v>
      </c>
      <c r="I27" s="25">
        <f>payload[PREÇO]*payload[QNTD]</f>
        <v>-52</v>
      </c>
    </row>
    <row r="28" spans="1:9" x14ac:dyDescent="0.25">
      <c r="A28" s="16">
        <v>43952</v>
      </c>
      <c r="B28" s="16">
        <v>43952</v>
      </c>
      <c r="C28" s="16" t="s">
        <v>17</v>
      </c>
      <c r="D28" s="16" t="s">
        <v>57</v>
      </c>
      <c r="E28" s="15" t="s">
        <v>36</v>
      </c>
      <c r="F28" s="15" t="s">
        <v>47</v>
      </c>
      <c r="G28" s="15">
        <v>1</v>
      </c>
      <c r="H28" s="25">
        <v>6500</v>
      </c>
      <c r="I28" s="25">
        <f>payload[PREÇO]*payload[QNTD]</f>
        <v>6500</v>
      </c>
    </row>
    <row r="29" spans="1:9" x14ac:dyDescent="0.25">
      <c r="A29" s="16">
        <v>43958</v>
      </c>
      <c r="B29" s="16">
        <f>payload[[#This Row],[DATA COM]]+1</f>
        <v>43959</v>
      </c>
      <c r="C29" s="16" t="s">
        <v>17</v>
      </c>
      <c r="D29" s="16" t="s">
        <v>46</v>
      </c>
      <c r="E29" s="15" t="s">
        <v>36</v>
      </c>
      <c r="F29" s="15" t="s">
        <v>47</v>
      </c>
      <c r="G29" s="15">
        <v>1</v>
      </c>
      <c r="H29" s="25">
        <v>200</v>
      </c>
      <c r="I29" s="25">
        <f>payload[PREÇO]*payload[QNTD]</f>
        <v>200</v>
      </c>
    </row>
    <row r="30" spans="1:9" x14ac:dyDescent="0.25">
      <c r="A30" s="16">
        <v>43922</v>
      </c>
      <c r="B30" s="16">
        <v>43922</v>
      </c>
      <c r="C30" s="16" t="s">
        <v>17</v>
      </c>
      <c r="D30" s="16" t="s">
        <v>57</v>
      </c>
      <c r="E30" s="15" t="s">
        <v>36</v>
      </c>
      <c r="F30" s="15" t="s">
        <v>47</v>
      </c>
      <c r="G30" s="15">
        <v>1</v>
      </c>
      <c r="H30" s="25">
        <v>5402.34</v>
      </c>
      <c r="I30" s="25">
        <f>payload[PREÇO]*payload[QNTD]</f>
        <v>5402.34</v>
      </c>
    </row>
    <row r="31" spans="1:9" x14ac:dyDescent="0.25">
      <c r="A31" s="17">
        <v>43964</v>
      </c>
      <c r="B31" s="17">
        <v>43965</v>
      </c>
      <c r="C31" s="17" t="s">
        <v>17</v>
      </c>
      <c r="D31" s="17" t="s">
        <v>46</v>
      </c>
      <c r="E31" s="18" t="s">
        <v>36</v>
      </c>
      <c r="F31" s="18" t="s">
        <v>47</v>
      </c>
      <c r="G31" s="18">
        <v>1</v>
      </c>
      <c r="H31" s="28">
        <v>140</v>
      </c>
      <c r="I31" s="51">
        <f>payload[PREÇO]*payload[QNTD]</f>
        <v>140</v>
      </c>
    </row>
    <row r="32" spans="1:9" x14ac:dyDescent="0.25">
      <c r="A32" s="17">
        <v>43966</v>
      </c>
      <c r="B32" s="17">
        <v>43966</v>
      </c>
      <c r="C32" s="17" t="s">
        <v>17</v>
      </c>
      <c r="D32" s="17" t="s">
        <v>7</v>
      </c>
      <c r="E32" s="18" t="s">
        <v>39</v>
      </c>
      <c r="F32" s="18" t="s">
        <v>77</v>
      </c>
      <c r="G32" s="18">
        <v>33</v>
      </c>
      <c r="H32" s="28">
        <v>0.81</v>
      </c>
      <c r="I32" s="51">
        <f>payload[PREÇO]*payload[QNTD]</f>
        <v>26.73</v>
      </c>
    </row>
    <row r="33" spans="1:9" x14ac:dyDescent="0.25">
      <c r="A33" s="17">
        <v>43966</v>
      </c>
      <c r="B33" s="17">
        <v>43966</v>
      </c>
      <c r="C33" s="17" t="s">
        <v>17</v>
      </c>
      <c r="D33" s="17" t="s">
        <v>7</v>
      </c>
      <c r="E33" s="18" t="s">
        <v>33</v>
      </c>
      <c r="F33" s="18" t="s">
        <v>77</v>
      </c>
      <c r="G33" s="18">
        <v>95</v>
      </c>
      <c r="H33" s="28">
        <v>7.0000000000000007E-2</v>
      </c>
      <c r="I33" s="51">
        <f>payload[PREÇO]*payload[QNTD]</f>
        <v>6.65</v>
      </c>
    </row>
    <row r="34" spans="1:9" x14ac:dyDescent="0.25">
      <c r="A34" s="17">
        <v>43970</v>
      </c>
      <c r="B34" s="17">
        <v>43972</v>
      </c>
      <c r="C34" s="16" t="s">
        <v>17</v>
      </c>
      <c r="D34" s="17" t="s">
        <v>7</v>
      </c>
      <c r="E34" s="18" t="s">
        <v>0</v>
      </c>
      <c r="F34" s="18" t="s">
        <v>42</v>
      </c>
      <c r="G34" s="18">
        <v>14</v>
      </c>
      <c r="H34" s="28">
        <v>9.8000000000000007</v>
      </c>
      <c r="I34" s="51">
        <f>(payload[PREÇO]*payload[QNTD])-(8.86*14)</f>
        <v>13.160000000000025</v>
      </c>
    </row>
    <row r="35" spans="1:9" x14ac:dyDescent="0.25">
      <c r="A35" s="16">
        <v>43978</v>
      </c>
      <c r="B35" s="16">
        <f>payload[[#This Row],[DATA COM]]+2</f>
        <v>43980</v>
      </c>
      <c r="C35" s="16" t="s">
        <v>17</v>
      </c>
      <c r="D35" s="16" t="s">
        <v>7</v>
      </c>
      <c r="E35" s="15" t="s">
        <v>19</v>
      </c>
      <c r="F35" s="15" t="s">
        <v>42</v>
      </c>
      <c r="G35" s="15">
        <v>6</v>
      </c>
      <c r="H35" s="25">
        <v>10.8</v>
      </c>
      <c r="I35" s="62">
        <f>10.8*payload[[#This Row],[QNTD]]-9.24*payload[[#This Row],[QNTD]]</f>
        <v>9.3600000000000136</v>
      </c>
    </row>
    <row r="36" spans="1:9" x14ac:dyDescent="0.25">
      <c r="A36" s="17">
        <v>43978</v>
      </c>
      <c r="B36" s="17">
        <f>payload[[#This Row],[DATA COM]]+1</f>
        <v>43979</v>
      </c>
      <c r="C36" s="17" t="s">
        <v>17</v>
      </c>
      <c r="D36" s="17" t="s">
        <v>46</v>
      </c>
      <c r="E36" s="18" t="s">
        <v>36</v>
      </c>
      <c r="F36" s="18" t="s">
        <v>47</v>
      </c>
      <c r="G36" s="18">
        <v>1</v>
      </c>
      <c r="H36" s="28">
        <v>800</v>
      </c>
      <c r="I36" s="51">
        <f>payload[PREÇO]*payload[QNTD]</f>
        <v>800</v>
      </c>
    </row>
    <row r="37" spans="1:9" x14ac:dyDescent="0.25">
      <c r="A37" s="17">
        <v>43980</v>
      </c>
      <c r="B37" s="17">
        <f>payload[[#This Row],[DATA COM]]</f>
        <v>43980</v>
      </c>
      <c r="C37" s="17" t="s">
        <v>17</v>
      </c>
      <c r="D37" s="17" t="s">
        <v>7</v>
      </c>
      <c r="E37" s="18" t="s">
        <v>84</v>
      </c>
      <c r="F37" s="18" t="s">
        <v>77</v>
      </c>
      <c r="G37" s="18">
        <v>16</v>
      </c>
      <c r="H37" s="28">
        <v>4.2999999999999997E-2</v>
      </c>
      <c r="I37" s="51">
        <f>payload[PREÇO]*payload[QNTD]</f>
        <v>0.68799999999999994</v>
      </c>
    </row>
    <row r="38" spans="1:9" x14ac:dyDescent="0.25">
      <c r="A38" s="17">
        <v>43983</v>
      </c>
      <c r="B38" s="17">
        <f>payload[[#This Row],[DATA COM]]</f>
        <v>43983</v>
      </c>
      <c r="C38" s="17" t="s">
        <v>83</v>
      </c>
      <c r="D38" s="17" t="s">
        <v>7</v>
      </c>
      <c r="E38" s="18" t="s">
        <v>85</v>
      </c>
      <c r="F38" s="18" t="s">
        <v>77</v>
      </c>
      <c r="G38" s="18">
        <v>1</v>
      </c>
      <c r="H38" s="28">
        <v>0.13</v>
      </c>
      <c r="I38" s="51">
        <f>payload[PREÇO]*payload[QNTD]</f>
        <v>0.13</v>
      </c>
    </row>
    <row r="39" spans="1:9" x14ac:dyDescent="0.25">
      <c r="A39" s="17">
        <v>43987</v>
      </c>
      <c r="B39" s="17">
        <v>43987</v>
      </c>
      <c r="C39" s="17" t="s">
        <v>83</v>
      </c>
      <c r="D39" s="17" t="s">
        <v>46</v>
      </c>
      <c r="E39" s="18" t="s">
        <v>36</v>
      </c>
      <c r="F39" s="18" t="s">
        <v>47</v>
      </c>
      <c r="G39" s="18">
        <v>1</v>
      </c>
      <c r="H39" s="28">
        <v>85</v>
      </c>
      <c r="I39" s="51">
        <f>payload[PREÇO]*payload[QNTD]</f>
        <v>85</v>
      </c>
    </row>
    <row r="40" spans="1:9" x14ac:dyDescent="0.25">
      <c r="A40" s="17">
        <v>43930</v>
      </c>
      <c r="B40" s="17">
        <v>43930</v>
      </c>
      <c r="C40" s="17" t="s">
        <v>16</v>
      </c>
      <c r="D40" s="17" t="s">
        <v>7</v>
      </c>
      <c r="E40" s="18" t="s">
        <v>87</v>
      </c>
      <c r="F40" s="18" t="s">
        <v>42</v>
      </c>
      <c r="G40" s="18">
        <v>1</v>
      </c>
      <c r="H40" s="28">
        <f>3.9-0.17</f>
        <v>3.73</v>
      </c>
      <c r="I40" s="51">
        <f>payload[PREÇO]*payload[QNTD]</f>
        <v>3.73</v>
      </c>
    </row>
    <row r="41" spans="1:9" x14ac:dyDescent="0.25">
      <c r="A41" s="17">
        <v>43991</v>
      </c>
      <c r="B41" s="17">
        <v>43991</v>
      </c>
      <c r="C41" s="17" t="s">
        <v>83</v>
      </c>
      <c r="D41" s="17" t="s">
        <v>46</v>
      </c>
      <c r="E41" s="18" t="s">
        <v>36</v>
      </c>
      <c r="F41" s="18" t="s">
        <v>47</v>
      </c>
      <c r="G41" s="18">
        <v>1</v>
      </c>
      <c r="H41" s="28">
        <v>70</v>
      </c>
      <c r="I41" s="51">
        <f>payload[PREÇO]*payload[QNTD]</f>
        <v>70</v>
      </c>
    </row>
    <row r="42" spans="1:9" x14ac:dyDescent="0.25">
      <c r="A42" s="67">
        <f>payload[[#This Row],[DATA EX]]-1</f>
        <v>43996</v>
      </c>
      <c r="B42" s="67">
        <v>43997</v>
      </c>
      <c r="C42" s="67" t="s">
        <v>83</v>
      </c>
      <c r="D42" s="67" t="s">
        <v>46</v>
      </c>
      <c r="E42" s="68" t="s">
        <v>36</v>
      </c>
      <c r="F42" s="68" t="s">
        <v>47</v>
      </c>
      <c r="G42" s="68">
        <v>1</v>
      </c>
      <c r="H42" s="69">
        <v>40</v>
      </c>
      <c r="I42" s="70">
        <f>payload[PREÇO]*payload[QNTD]</f>
        <v>40</v>
      </c>
    </row>
    <row r="43" spans="1:9" x14ac:dyDescent="0.25">
      <c r="A43" s="16">
        <v>43983</v>
      </c>
      <c r="B43" s="16">
        <v>43997</v>
      </c>
      <c r="C43" s="16" t="s">
        <v>83</v>
      </c>
      <c r="D43" s="16" t="s">
        <v>7</v>
      </c>
      <c r="E43" s="15" t="s">
        <v>39</v>
      </c>
      <c r="F43" s="15" t="s">
        <v>77</v>
      </c>
      <c r="G43" s="15">
        <v>33</v>
      </c>
      <c r="H43" s="25">
        <v>0.81</v>
      </c>
      <c r="I43" s="62">
        <f>payload[PREÇO]*payload[QNTD]</f>
        <v>26.73</v>
      </c>
    </row>
    <row r="44" spans="1:9" x14ac:dyDescent="0.25">
      <c r="A44" s="16">
        <v>43983</v>
      </c>
      <c r="B44" s="16">
        <v>43997</v>
      </c>
      <c r="C44" s="16" t="s">
        <v>83</v>
      </c>
      <c r="D44" s="16" t="s">
        <v>7</v>
      </c>
      <c r="E44" s="15" t="s">
        <v>33</v>
      </c>
      <c r="F44" s="15" t="s">
        <v>77</v>
      </c>
      <c r="G44" s="15">
        <v>95</v>
      </c>
      <c r="H44" s="25">
        <v>7.0000000000000007E-2</v>
      </c>
      <c r="I44" s="62">
        <f>payload[PREÇO]*payload[QNTD]</f>
        <v>6.65</v>
      </c>
    </row>
    <row r="45" spans="1:9" x14ac:dyDescent="0.25">
      <c r="A45" s="16">
        <v>43983</v>
      </c>
      <c r="B45" s="16">
        <v>43997</v>
      </c>
      <c r="C45" s="16" t="s">
        <v>83</v>
      </c>
      <c r="D45" s="16" t="s">
        <v>7</v>
      </c>
      <c r="E45" s="15" t="s">
        <v>82</v>
      </c>
      <c r="F45" s="15" t="s">
        <v>77</v>
      </c>
      <c r="G45" s="15">
        <v>5</v>
      </c>
      <c r="H45" s="25">
        <v>0.9</v>
      </c>
      <c r="I45" s="62">
        <f>payload[PREÇO]*payload[QNTD]</f>
        <v>4.5</v>
      </c>
    </row>
    <row r="46" spans="1:9" x14ac:dyDescent="0.25">
      <c r="A46" s="16">
        <v>43999</v>
      </c>
      <c r="B46" s="16">
        <v>43999</v>
      </c>
      <c r="C46" s="16" t="s">
        <v>83</v>
      </c>
      <c r="D46" s="16" t="s">
        <v>46</v>
      </c>
      <c r="E46" s="15" t="s">
        <v>36</v>
      </c>
      <c r="F46" s="15" t="s">
        <v>47</v>
      </c>
      <c r="G46" s="15">
        <v>1</v>
      </c>
      <c r="H46" s="25">
        <v>600</v>
      </c>
      <c r="I46" s="62">
        <f>payload[PREÇO]*payload[QNTD]</f>
        <v>600</v>
      </c>
    </row>
    <row r="47" spans="1:9" x14ac:dyDescent="0.25">
      <c r="A47" s="67">
        <v>44004</v>
      </c>
      <c r="B47" s="67">
        <v>44004</v>
      </c>
      <c r="C47" s="67" t="s">
        <v>83</v>
      </c>
      <c r="D47" s="67" t="s">
        <v>46</v>
      </c>
      <c r="E47" s="68" t="s">
        <v>36</v>
      </c>
      <c r="F47" s="68" t="s">
        <v>47</v>
      </c>
      <c r="G47" s="68">
        <v>1</v>
      </c>
      <c r="H47" s="69">
        <v>150</v>
      </c>
      <c r="I47" s="70">
        <f>payload[PREÇO]*payload[QNTD]</f>
        <v>150</v>
      </c>
    </row>
    <row r="48" spans="1:9" x14ac:dyDescent="0.25">
      <c r="A48" s="67">
        <v>44008</v>
      </c>
      <c r="B48" s="67">
        <v>44008</v>
      </c>
      <c r="C48" s="67" t="s">
        <v>83</v>
      </c>
      <c r="D48" s="67" t="s">
        <v>46</v>
      </c>
      <c r="E48" s="68" t="s">
        <v>36</v>
      </c>
      <c r="F48" s="68" t="s">
        <v>47</v>
      </c>
      <c r="G48" s="68">
        <v>1</v>
      </c>
      <c r="H48" s="69">
        <v>30</v>
      </c>
      <c r="I48" s="70">
        <f>payload[PREÇO]*payload[QNTD]</f>
        <v>30</v>
      </c>
    </row>
    <row r="49" spans="1:9" x14ac:dyDescent="0.25">
      <c r="A49" s="16">
        <v>44008</v>
      </c>
      <c r="B49" s="16">
        <v>44008</v>
      </c>
      <c r="C49" s="16" t="s">
        <v>83</v>
      </c>
      <c r="D49" s="16" t="s">
        <v>46</v>
      </c>
      <c r="E49" s="15" t="s">
        <v>36</v>
      </c>
      <c r="F49" s="15" t="s">
        <v>47</v>
      </c>
      <c r="G49" s="15">
        <v>1</v>
      </c>
      <c r="H49" s="25">
        <v>25</v>
      </c>
      <c r="I49" s="62">
        <f>payload[PREÇO]*payload[QNTD]</f>
        <v>25</v>
      </c>
    </row>
    <row r="50" spans="1:9" x14ac:dyDescent="0.25">
      <c r="A50" s="16">
        <v>44012</v>
      </c>
      <c r="B50" s="16">
        <v>44012</v>
      </c>
      <c r="C50" s="16" t="s">
        <v>83</v>
      </c>
      <c r="D50" s="16" t="s">
        <v>46</v>
      </c>
      <c r="E50" s="15" t="s">
        <v>36</v>
      </c>
      <c r="F50" s="15" t="s">
        <v>47</v>
      </c>
      <c r="G50" s="15">
        <v>1</v>
      </c>
      <c r="H50" s="25">
        <v>505</v>
      </c>
      <c r="I50" s="62">
        <f>payload[PREÇO]*payload[QNTD]</f>
        <v>505</v>
      </c>
    </row>
    <row r="51" spans="1:9" x14ac:dyDescent="0.25">
      <c r="A51" s="139">
        <v>44013</v>
      </c>
      <c r="B51" s="139">
        <v>44013</v>
      </c>
      <c r="C51" s="139" t="s">
        <v>133</v>
      </c>
      <c r="D51" s="139" t="s">
        <v>7</v>
      </c>
      <c r="E51" s="140" t="s">
        <v>85</v>
      </c>
      <c r="F51" s="140" t="s">
        <v>77</v>
      </c>
      <c r="G51" s="140">
        <v>1</v>
      </c>
      <c r="H51" s="141">
        <v>0.13</v>
      </c>
      <c r="I51" s="142">
        <f>payload[PREÇO]*payload[QNTD]</f>
        <v>0.13</v>
      </c>
    </row>
    <row r="52" spans="1:9" x14ac:dyDescent="0.25">
      <c r="A52" s="139">
        <v>44013</v>
      </c>
      <c r="B52" s="139">
        <v>44013</v>
      </c>
      <c r="C52" s="139" t="s">
        <v>133</v>
      </c>
      <c r="D52" s="139" t="s">
        <v>7</v>
      </c>
      <c r="E52" s="140" t="s">
        <v>99</v>
      </c>
      <c r="F52" s="140" t="s">
        <v>77</v>
      </c>
      <c r="G52" s="140">
        <v>1</v>
      </c>
      <c r="H52" s="141">
        <v>1.5</v>
      </c>
      <c r="I52" s="142">
        <f>payload[PREÇO]*payload[QNTD]</f>
        <v>1.5</v>
      </c>
    </row>
    <row r="53" spans="1:9" x14ac:dyDescent="0.25">
      <c r="A53" s="16">
        <v>44013</v>
      </c>
      <c r="B53" s="139">
        <v>44013</v>
      </c>
      <c r="C53" s="16" t="s">
        <v>133</v>
      </c>
      <c r="D53" s="16" t="s">
        <v>46</v>
      </c>
      <c r="E53" s="15" t="s">
        <v>36</v>
      </c>
      <c r="F53" s="15" t="s">
        <v>47</v>
      </c>
      <c r="G53" s="15">
        <v>1</v>
      </c>
      <c r="H53" s="25">
        <v>300</v>
      </c>
      <c r="I53" s="62">
        <f>payload[PREÇO]*payload[QNTD]</f>
        <v>300</v>
      </c>
    </row>
    <row r="54" spans="1:9" x14ac:dyDescent="0.25">
      <c r="A54"/>
      <c r="B54"/>
    </row>
    <row r="55" spans="1:9" x14ac:dyDescent="0.25">
      <c r="A55"/>
      <c r="B55"/>
    </row>
    <row r="56" spans="1:9" x14ac:dyDescent="0.25">
      <c r="A56"/>
      <c r="B56"/>
    </row>
    <row r="57" spans="1:9" x14ac:dyDescent="0.25">
      <c r="A57"/>
      <c r="B57"/>
    </row>
    <row r="58" spans="1:9" x14ac:dyDescent="0.25">
      <c r="A58"/>
      <c r="B58"/>
    </row>
    <row r="59" spans="1:9" x14ac:dyDescent="0.25">
      <c r="A59"/>
      <c r="B59"/>
    </row>
  </sheetData>
  <pageMargins left="0.7" right="0.7" top="0.75" bottom="0.75" header="0.3" footer="0.3"/>
  <pageSetup paperSize="9" orientation="portrait" horizontalDpi="300" verticalDpi="300" r:id="rId1"/>
  <picture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showGridLines="0" workbookViewId="0">
      <selection activeCell="A3" sqref="A3:A26"/>
    </sheetView>
  </sheetViews>
  <sheetFormatPr defaultRowHeight="15" x14ac:dyDescent="0.25"/>
  <cols>
    <col min="1" max="1" width="12" style="14" bestFit="1" customWidth="1"/>
    <col min="2" max="4" width="9.140625" style="14"/>
    <col min="5" max="5" width="10.140625" style="9" bestFit="1" customWidth="1"/>
    <col min="6" max="6" width="10.140625" style="9" customWidth="1"/>
    <col min="7" max="7" width="12" style="14" bestFit="1" customWidth="1"/>
    <col min="8" max="10" width="9.140625" style="14"/>
    <col min="11" max="11" width="10.140625" style="9" bestFit="1" customWidth="1"/>
    <col min="12" max="12" width="10.140625" style="9" customWidth="1"/>
    <col min="13" max="13" width="12" style="3" bestFit="1" customWidth="1"/>
    <col min="14" max="16" width="9.140625" style="3"/>
    <col min="17" max="18" width="9.140625" style="1"/>
    <col min="19" max="19" width="11.7109375" style="9" customWidth="1"/>
    <col min="20" max="23" width="9.140625" style="9"/>
    <col min="24" max="24" width="9.140625" style="1" customWidth="1"/>
    <col min="25" max="25" width="13" style="9" customWidth="1"/>
    <col min="26" max="29" width="9.140625" style="9" customWidth="1"/>
    <col min="30" max="30" width="9.140625" style="1"/>
    <col min="31" max="31" width="13" style="9" bestFit="1" customWidth="1"/>
    <col min="32" max="36" width="9.140625" style="9"/>
    <col min="37" max="37" width="12" style="9" bestFit="1" customWidth="1"/>
    <col min="38" max="42" width="9.140625" style="9"/>
    <col min="43" max="43" width="9.140625" style="1"/>
    <col min="44" max="44" width="12" style="3" bestFit="1" customWidth="1"/>
    <col min="45" max="47" width="9.140625" style="3"/>
    <col min="48" max="16384" width="9.140625" style="1"/>
  </cols>
  <sheetData>
    <row r="1" spans="1:54" ht="23.25" x14ac:dyDescent="0.25">
      <c r="A1" s="8" t="s">
        <v>39</v>
      </c>
      <c r="B1" s="9">
        <v>4</v>
      </c>
      <c r="C1" s="9">
        <v>91.71</v>
      </c>
      <c r="D1" s="9">
        <v>0.02</v>
      </c>
      <c r="E1" s="9">
        <v>0.7</v>
      </c>
      <c r="G1" s="8" t="s">
        <v>30</v>
      </c>
      <c r="H1" s="9">
        <v>5</v>
      </c>
      <c r="I1" s="9">
        <v>101</v>
      </c>
      <c r="J1" s="9">
        <v>2.1999999999999999E-2</v>
      </c>
      <c r="K1" s="9">
        <v>0.7</v>
      </c>
      <c r="M1" s="4" t="s">
        <v>33</v>
      </c>
      <c r="N1" s="1">
        <v>15</v>
      </c>
      <c r="O1" s="1">
        <v>9.9700000000000006</v>
      </c>
      <c r="P1" s="1">
        <v>2.1999999999999999E-2</v>
      </c>
      <c r="Q1" s="1">
        <v>7.0000000000000007E-2</v>
      </c>
      <c r="S1" s="8" t="s">
        <v>25</v>
      </c>
      <c r="T1" s="9">
        <v>18</v>
      </c>
      <c r="U1" s="9">
        <v>114</v>
      </c>
      <c r="V1" s="9">
        <v>7.0000000000000001E-3</v>
      </c>
      <c r="W1" s="9">
        <v>0.74</v>
      </c>
      <c r="Y1" s="8" t="s">
        <v>28</v>
      </c>
      <c r="Z1" s="9">
        <v>12</v>
      </c>
      <c r="AA1" s="9">
        <v>85.15</v>
      </c>
      <c r="AB1" s="9">
        <v>0.03</v>
      </c>
      <c r="AC1" s="9">
        <v>0.7</v>
      </c>
      <c r="AE1" s="8" t="s">
        <v>29</v>
      </c>
      <c r="AF1" s="9">
        <v>13</v>
      </c>
      <c r="AG1" s="9">
        <v>76</v>
      </c>
      <c r="AH1" s="9">
        <v>4.0000000000000001E-3</v>
      </c>
      <c r="AI1" s="9">
        <v>0.73</v>
      </c>
      <c r="AK1" s="8" t="s">
        <v>26</v>
      </c>
      <c r="AL1" s="9">
        <v>13</v>
      </c>
      <c r="AM1" s="9">
        <v>78.900000000000006</v>
      </c>
      <c r="AN1" s="9">
        <v>0.01</v>
      </c>
      <c r="AO1" s="9">
        <v>0.53</v>
      </c>
      <c r="AR1" s="4" t="s">
        <v>34</v>
      </c>
      <c r="AS1" s="1">
        <v>35</v>
      </c>
      <c r="AT1" s="1">
        <v>89.3</v>
      </c>
      <c r="AU1" s="1">
        <v>2.1999999999999999E-2</v>
      </c>
      <c r="AV1" s="1">
        <v>0.5</v>
      </c>
      <c r="AX1" s="4" t="s">
        <v>49</v>
      </c>
      <c r="AY1" s="1">
        <v>118</v>
      </c>
      <c r="AZ1" s="1">
        <v>35</v>
      </c>
      <c r="BA1" s="1">
        <v>0.02</v>
      </c>
      <c r="BB1" s="1">
        <v>0.12</v>
      </c>
    </row>
    <row r="2" spans="1:54" hidden="1" x14ac:dyDescent="0.25">
      <c r="A2" s="9"/>
      <c r="B2" s="9"/>
      <c r="C2" s="9"/>
      <c r="D2" s="9"/>
      <c r="G2" s="9"/>
      <c r="H2" s="9"/>
      <c r="I2" s="9"/>
      <c r="J2" s="9"/>
      <c r="M2" s="1"/>
      <c r="N2" s="1"/>
      <c r="O2" s="1"/>
      <c r="P2" s="1"/>
      <c r="AR2" s="1"/>
      <c r="AS2" s="1"/>
      <c r="AT2" s="1"/>
      <c r="AU2" s="1"/>
    </row>
    <row r="3" spans="1:54" x14ac:dyDescent="0.25">
      <c r="A3" s="10">
        <v>91.71</v>
      </c>
      <c r="B3" s="11">
        <v>3026.43</v>
      </c>
      <c r="C3" s="12">
        <v>33</v>
      </c>
      <c r="D3" s="13">
        <v>33</v>
      </c>
      <c r="E3" s="11">
        <v>23.099999999999998</v>
      </c>
      <c r="F3" s="11"/>
      <c r="G3" s="10">
        <v>100.4</v>
      </c>
      <c r="H3" s="11">
        <f>G3*H$1</f>
        <v>502</v>
      </c>
      <c r="I3" s="12">
        <f t="shared" ref="I3" si="0">H3/G3</f>
        <v>5</v>
      </c>
      <c r="J3" s="13">
        <f t="shared" ref="J3" si="1">J2+I3</f>
        <v>5</v>
      </c>
      <c r="K3" s="11">
        <f t="shared" ref="K3" si="2">J3*K$1</f>
        <v>3.5</v>
      </c>
      <c r="L3" s="11"/>
      <c r="M3" s="2">
        <v>9.9700000000000006</v>
      </c>
      <c r="N3" s="5">
        <v>498.50000000000006</v>
      </c>
      <c r="O3" s="6">
        <v>50</v>
      </c>
      <c r="P3" s="7">
        <v>50</v>
      </c>
      <c r="Q3" s="5">
        <v>3</v>
      </c>
      <c r="S3" s="10">
        <v>114</v>
      </c>
      <c r="T3" s="11">
        <v>2052</v>
      </c>
      <c r="U3" s="12">
        <v>18</v>
      </c>
      <c r="V3" s="13">
        <v>18</v>
      </c>
      <c r="W3" s="11">
        <v>13.32</v>
      </c>
      <c r="Y3" s="10">
        <v>85.15</v>
      </c>
      <c r="Z3" s="11">
        <v>1021.8000000000001</v>
      </c>
      <c r="AA3" s="12">
        <v>12</v>
      </c>
      <c r="AB3" s="13">
        <v>12</v>
      </c>
      <c r="AC3" s="11">
        <v>8.3999999999999986</v>
      </c>
      <c r="AE3" s="10">
        <v>76</v>
      </c>
      <c r="AF3" s="11">
        <v>988</v>
      </c>
      <c r="AG3" s="12">
        <v>13</v>
      </c>
      <c r="AH3" s="13">
        <v>13</v>
      </c>
      <c r="AI3" s="11">
        <v>9.49</v>
      </c>
      <c r="AJ3" s="11"/>
      <c r="AK3" s="10">
        <v>78.900000000000006</v>
      </c>
      <c r="AL3" s="11">
        <v>1025.7</v>
      </c>
      <c r="AM3" s="12">
        <v>13</v>
      </c>
      <c r="AN3" s="13">
        <v>13</v>
      </c>
      <c r="AO3" s="11">
        <v>6.8900000000000006</v>
      </c>
      <c r="AP3" s="11"/>
      <c r="AR3" s="2">
        <v>89.3</v>
      </c>
      <c r="AS3" s="5">
        <v>3125.5</v>
      </c>
      <c r="AT3" s="6">
        <v>35</v>
      </c>
      <c r="AU3" s="7">
        <v>35</v>
      </c>
      <c r="AV3" s="5">
        <v>17.5</v>
      </c>
      <c r="AX3" s="2">
        <f>AZ1</f>
        <v>35</v>
      </c>
      <c r="AY3" s="5">
        <f t="shared" ref="AY3" si="3">AX3*AY$1</f>
        <v>4130</v>
      </c>
      <c r="AZ3" s="6">
        <f t="shared" ref="AZ3" si="4">AY3/AX3</f>
        <v>118</v>
      </c>
      <c r="BA3" s="7">
        <f t="shared" ref="BA3" si="5">BA2+AZ3</f>
        <v>118</v>
      </c>
      <c r="BB3" s="5">
        <f t="shared" ref="BB3" si="6">BA3*BB$1</f>
        <v>14.16</v>
      </c>
    </row>
    <row r="4" spans="1:54" x14ac:dyDescent="0.25">
      <c r="A4" s="10">
        <f>A3+(A3*D$1)</f>
        <v>93.544199999999989</v>
      </c>
      <c r="B4" s="11">
        <f>A4*B$1</f>
        <v>374.17679999999996</v>
      </c>
      <c r="C4" s="12">
        <f t="shared" ref="C4:C26" si="7">B4/A4</f>
        <v>4</v>
      </c>
      <c r="D4" s="13">
        <f t="shared" ref="D4:D26" si="8">D3+C4</f>
        <v>37</v>
      </c>
      <c r="E4" s="11">
        <f t="shared" ref="E4:E26" si="9">D4*E$1</f>
        <v>25.9</v>
      </c>
      <c r="F4" s="11"/>
      <c r="G4" s="10">
        <f>G3+(G3*J$1)</f>
        <v>102.6088</v>
      </c>
      <c r="H4" s="11">
        <f>G4*H$1</f>
        <v>513.04399999999998</v>
      </c>
      <c r="I4" s="12">
        <f t="shared" ref="I4:I26" si="10">H4/G4</f>
        <v>5</v>
      </c>
      <c r="J4" s="13">
        <f t="shared" ref="J4:J26" si="11">J3+I4</f>
        <v>10</v>
      </c>
      <c r="K4" s="11">
        <f t="shared" ref="K4:K26" si="12">J4*K$1</f>
        <v>7</v>
      </c>
      <c r="L4" s="11"/>
      <c r="M4" s="2">
        <f>M3+(M3*P$1)</f>
        <v>10.189340000000001</v>
      </c>
      <c r="N4" s="5">
        <f t="shared" ref="N4:N26" si="13">M4*N$1</f>
        <v>152.84010000000001</v>
      </c>
      <c r="O4" s="6">
        <f t="shared" ref="O4:O26" si="14">N4/M4</f>
        <v>14.999999999999998</v>
      </c>
      <c r="P4" s="7">
        <f t="shared" ref="P4:P26" si="15">P3+O4</f>
        <v>65</v>
      </c>
      <c r="Q4" s="5">
        <f t="shared" ref="Q4:Q26" si="16">P4*Q$1</f>
        <v>4.5500000000000007</v>
      </c>
      <c r="S4" s="10">
        <f>S3+(S3*$V$1)</f>
        <v>114.798</v>
      </c>
      <c r="T4" s="11">
        <f t="shared" ref="T4:T26" si="17">S4*T$1</f>
        <v>2066.364</v>
      </c>
      <c r="U4" s="12">
        <f t="shared" ref="U4:U26" si="18">T4/S4</f>
        <v>18</v>
      </c>
      <c r="V4" s="13">
        <f t="shared" ref="V4:V26" si="19">V3+U4</f>
        <v>36</v>
      </c>
      <c r="W4" s="11">
        <f t="shared" ref="W4:W26" si="20">V4*($W$1)</f>
        <v>26.64</v>
      </c>
      <c r="Y4" s="10">
        <f>Y3+(Y3*AB$1)</f>
        <v>87.70450000000001</v>
      </c>
      <c r="Z4" s="11">
        <f t="shared" ref="Z4:Z26" si="21">Y4*Z$1</f>
        <v>1052.4540000000002</v>
      </c>
      <c r="AA4" s="12">
        <f t="shared" ref="AA4:AA26" si="22">Z4/Y4</f>
        <v>12</v>
      </c>
      <c r="AB4" s="13">
        <f t="shared" ref="AB4:AB25" si="23">AB3+AA4</f>
        <v>24</v>
      </c>
      <c r="AC4" s="11">
        <f t="shared" ref="AC4:AC26" si="24">AB4*AC$1</f>
        <v>16.799999999999997</v>
      </c>
      <c r="AE4" s="10">
        <f>AE3+(AE3*AH$1)</f>
        <v>76.304000000000002</v>
      </c>
      <c r="AF4" s="11">
        <f t="shared" ref="AF4:AF26" si="25">AE4*AF$1</f>
        <v>991.952</v>
      </c>
      <c r="AG4" s="12">
        <f t="shared" ref="AG4:AG26" si="26">AF4/AE4</f>
        <v>13</v>
      </c>
      <c r="AH4" s="13">
        <f t="shared" ref="AH4:AH25" si="27">AH3+AG4</f>
        <v>26</v>
      </c>
      <c r="AI4" s="11">
        <f t="shared" ref="AI4:AI26" si="28">AH4*AI$1</f>
        <v>18.98</v>
      </c>
      <c r="AJ4" s="11"/>
      <c r="AK4" s="10">
        <f t="shared" ref="AK4:AK26" si="29">AK3+(AK3*$AN$1)</f>
        <v>79.689000000000007</v>
      </c>
      <c r="AL4" s="11">
        <f t="shared" ref="AL4:AL26" si="30">AK4*AL$1</f>
        <v>1035.9570000000001</v>
      </c>
      <c r="AM4" s="12">
        <f t="shared" ref="AM4:AM26" si="31">AL4/AK4</f>
        <v>13</v>
      </c>
      <c r="AN4" s="13">
        <f t="shared" ref="AN4:AN26" si="32">AN3+AM4</f>
        <v>26</v>
      </c>
      <c r="AO4" s="11">
        <f t="shared" ref="AO4:AO26" si="33">AN4*AO$1</f>
        <v>13.780000000000001</v>
      </c>
      <c r="AP4" s="11"/>
      <c r="AR4" s="2">
        <f>AR3+(AR3*AU$1)</f>
        <v>91.264600000000002</v>
      </c>
      <c r="AS4" s="5">
        <f t="shared" ref="AS4:AS26" si="34">AR4*AS$1</f>
        <v>3194.261</v>
      </c>
      <c r="AT4" s="6">
        <f t="shared" ref="AT4:AT26" si="35">AS4/AR4</f>
        <v>35</v>
      </c>
      <c r="AU4" s="7">
        <f t="shared" ref="AU4:AU26" si="36">AU3+AT4</f>
        <v>70</v>
      </c>
      <c r="AV4" s="5">
        <f t="shared" ref="AV4:AV26" si="37">AU4*AV$1</f>
        <v>35</v>
      </c>
      <c r="AX4" s="2">
        <f>AX3+(AX3*BA$1)</f>
        <v>35.700000000000003</v>
      </c>
      <c r="AY4" s="5">
        <f t="shared" ref="AY4:AY26" si="38">AX4*AY$1</f>
        <v>4212.6000000000004</v>
      </c>
      <c r="AZ4" s="6">
        <f t="shared" ref="AZ4:AZ26" si="39">AY4/AX4</f>
        <v>118</v>
      </c>
      <c r="BA4" s="7">
        <f t="shared" ref="BA4:BA26" si="40">BA3+AZ4</f>
        <v>236</v>
      </c>
      <c r="BB4" s="5">
        <f t="shared" ref="BB4:BB26" si="41">BA4*BB$1</f>
        <v>28.32</v>
      </c>
    </row>
    <row r="5" spans="1:54" x14ac:dyDescent="0.25">
      <c r="A5" s="10">
        <f t="shared" ref="A5:A26" si="42">A4+(A4*$AN$1)</f>
        <v>94.479641999999984</v>
      </c>
      <c r="B5" s="11">
        <f t="shared" ref="B5:B26" si="43">A5*B$1</f>
        <v>377.91856799999994</v>
      </c>
      <c r="C5" s="12">
        <f t="shared" si="7"/>
        <v>4</v>
      </c>
      <c r="D5" s="13">
        <f t="shared" si="8"/>
        <v>41</v>
      </c>
      <c r="E5" s="11">
        <f t="shared" si="9"/>
        <v>28.7</v>
      </c>
      <c r="F5" s="11"/>
      <c r="G5" s="10">
        <f t="shared" ref="G5:G26" si="44">G4+(G4*$AN$1)</f>
        <v>103.634888</v>
      </c>
      <c r="H5" s="11">
        <f t="shared" ref="H5:H26" si="45">G5*H$1</f>
        <v>518.17444</v>
      </c>
      <c r="I5" s="12">
        <f t="shared" si="10"/>
        <v>5</v>
      </c>
      <c r="J5" s="13">
        <f t="shared" si="11"/>
        <v>15</v>
      </c>
      <c r="K5" s="11">
        <f t="shared" si="12"/>
        <v>10.5</v>
      </c>
      <c r="L5" s="11"/>
      <c r="M5" s="2">
        <f t="shared" ref="M5:M26" si="46">M4+(M4*$AN$1)</f>
        <v>10.291233400000001</v>
      </c>
      <c r="N5" s="5">
        <f t="shared" si="13"/>
        <v>154.36850100000001</v>
      </c>
      <c r="O5" s="6">
        <f t="shared" si="14"/>
        <v>15</v>
      </c>
      <c r="P5" s="7">
        <f t="shared" si="15"/>
        <v>80</v>
      </c>
      <c r="Q5" s="5">
        <f t="shared" si="16"/>
        <v>5.6000000000000005</v>
      </c>
      <c r="S5" s="10">
        <f t="shared" ref="S5:S26" si="47">S4+(S4*$V$1)</f>
        <v>115.601586</v>
      </c>
      <c r="T5" s="11">
        <f t="shared" si="17"/>
        <v>2080.828548</v>
      </c>
      <c r="U5" s="12">
        <f t="shared" si="18"/>
        <v>18</v>
      </c>
      <c r="V5" s="13">
        <f t="shared" si="19"/>
        <v>54</v>
      </c>
      <c r="W5" s="11">
        <f t="shared" si="20"/>
        <v>39.96</v>
      </c>
      <c r="Y5" s="10">
        <f t="shared" ref="Y5:Y26" si="48">Y4+(Y4*$AN$1)</f>
        <v>88.581545000000006</v>
      </c>
      <c r="Z5" s="11">
        <f t="shared" si="21"/>
        <v>1062.9785400000001</v>
      </c>
      <c r="AA5" s="12">
        <f t="shared" si="22"/>
        <v>12</v>
      </c>
      <c r="AB5" s="13">
        <f t="shared" si="23"/>
        <v>36</v>
      </c>
      <c r="AC5" s="11">
        <f t="shared" si="24"/>
        <v>25.2</v>
      </c>
      <c r="AE5" s="10">
        <f t="shared" ref="AE5:AE26" si="49">AE4+(AE4*$AN$1)</f>
        <v>77.067040000000006</v>
      </c>
      <c r="AF5" s="11">
        <f t="shared" si="25"/>
        <v>1001.87152</v>
      </c>
      <c r="AG5" s="12">
        <f t="shared" si="26"/>
        <v>13</v>
      </c>
      <c r="AH5" s="13">
        <f t="shared" si="27"/>
        <v>39</v>
      </c>
      <c r="AI5" s="11">
        <f t="shared" si="28"/>
        <v>28.47</v>
      </c>
      <c r="AJ5" s="11"/>
      <c r="AK5" s="10">
        <f t="shared" si="29"/>
        <v>80.485890000000012</v>
      </c>
      <c r="AL5" s="11">
        <f t="shared" si="30"/>
        <v>1046.3165700000002</v>
      </c>
      <c r="AM5" s="12">
        <f t="shared" si="31"/>
        <v>13</v>
      </c>
      <c r="AN5" s="13">
        <f t="shared" si="32"/>
        <v>39</v>
      </c>
      <c r="AO5" s="11">
        <f t="shared" si="33"/>
        <v>20.67</v>
      </c>
      <c r="AP5" s="11"/>
      <c r="AR5" s="2">
        <f t="shared" ref="AR5:AR26" si="50">AR4+(AR4*$AN$1)</f>
        <v>92.177245999999997</v>
      </c>
      <c r="AS5" s="5">
        <f t="shared" si="34"/>
        <v>3226.20361</v>
      </c>
      <c r="AT5" s="6">
        <f t="shared" si="35"/>
        <v>35</v>
      </c>
      <c r="AU5" s="7">
        <f t="shared" si="36"/>
        <v>105</v>
      </c>
      <c r="AV5" s="5">
        <f t="shared" si="37"/>
        <v>52.5</v>
      </c>
      <c r="AX5" s="2">
        <f t="shared" ref="AX5:AX26" si="51">AX4+(AX4*$AN$1)</f>
        <v>36.057000000000002</v>
      </c>
      <c r="AY5" s="5">
        <f t="shared" si="38"/>
        <v>4254.7260000000006</v>
      </c>
      <c r="AZ5" s="6">
        <f t="shared" si="39"/>
        <v>118.00000000000001</v>
      </c>
      <c r="BA5" s="7">
        <f t="shared" si="40"/>
        <v>354</v>
      </c>
      <c r="BB5" s="5">
        <f t="shared" si="41"/>
        <v>42.48</v>
      </c>
    </row>
    <row r="6" spans="1:54" x14ac:dyDescent="0.25">
      <c r="A6" s="10">
        <f t="shared" si="42"/>
        <v>95.424438419999987</v>
      </c>
      <c r="B6" s="11">
        <f t="shared" si="43"/>
        <v>381.69775367999995</v>
      </c>
      <c r="C6" s="12">
        <f t="shared" si="7"/>
        <v>4</v>
      </c>
      <c r="D6" s="13">
        <f t="shared" si="8"/>
        <v>45</v>
      </c>
      <c r="E6" s="11">
        <f t="shared" si="9"/>
        <v>31.499999999999996</v>
      </c>
      <c r="F6" s="11"/>
      <c r="G6" s="10">
        <f t="shared" si="44"/>
        <v>104.67123688000001</v>
      </c>
      <c r="H6" s="11">
        <f t="shared" si="45"/>
        <v>523.35618440000007</v>
      </c>
      <c r="I6" s="12">
        <f t="shared" si="10"/>
        <v>5</v>
      </c>
      <c r="J6" s="13">
        <f t="shared" si="11"/>
        <v>20</v>
      </c>
      <c r="K6" s="11">
        <f t="shared" si="12"/>
        <v>14</v>
      </c>
      <c r="L6" s="11"/>
      <c r="M6" s="2">
        <f t="shared" si="46"/>
        <v>10.394145734000002</v>
      </c>
      <c r="N6" s="5">
        <f t="shared" si="13"/>
        <v>155.91218601000003</v>
      </c>
      <c r="O6" s="6">
        <f t="shared" si="14"/>
        <v>15</v>
      </c>
      <c r="P6" s="7">
        <f t="shared" si="15"/>
        <v>95</v>
      </c>
      <c r="Q6" s="5">
        <f t="shared" si="16"/>
        <v>6.65</v>
      </c>
      <c r="S6" s="10">
        <f t="shared" si="47"/>
        <v>116.410797102</v>
      </c>
      <c r="T6" s="11">
        <f t="shared" si="17"/>
        <v>2095.3943478360002</v>
      </c>
      <c r="U6" s="12">
        <f t="shared" si="18"/>
        <v>18</v>
      </c>
      <c r="V6" s="13">
        <f t="shared" si="19"/>
        <v>72</v>
      </c>
      <c r="W6" s="11">
        <f t="shared" si="20"/>
        <v>53.28</v>
      </c>
      <c r="Y6" s="10">
        <f t="shared" si="48"/>
        <v>89.467360450000001</v>
      </c>
      <c r="Z6" s="11">
        <f t="shared" si="21"/>
        <v>1073.6083254</v>
      </c>
      <c r="AA6" s="12">
        <f t="shared" si="22"/>
        <v>12</v>
      </c>
      <c r="AB6" s="13">
        <f t="shared" si="23"/>
        <v>48</v>
      </c>
      <c r="AC6" s="11">
        <f t="shared" si="24"/>
        <v>33.599999999999994</v>
      </c>
      <c r="AE6" s="10">
        <f t="shared" si="49"/>
        <v>77.837710400000006</v>
      </c>
      <c r="AF6" s="11">
        <f t="shared" si="25"/>
        <v>1011.8902352000001</v>
      </c>
      <c r="AG6" s="12">
        <f t="shared" si="26"/>
        <v>13</v>
      </c>
      <c r="AH6" s="13">
        <f t="shared" si="27"/>
        <v>52</v>
      </c>
      <c r="AI6" s="11">
        <f t="shared" si="28"/>
        <v>37.96</v>
      </c>
      <c r="AJ6" s="11"/>
      <c r="AK6" s="10">
        <f t="shared" si="29"/>
        <v>81.290748900000011</v>
      </c>
      <c r="AL6" s="11">
        <f t="shared" si="30"/>
        <v>1056.7797357000002</v>
      </c>
      <c r="AM6" s="12">
        <f t="shared" si="31"/>
        <v>13</v>
      </c>
      <c r="AN6" s="13">
        <f t="shared" si="32"/>
        <v>52</v>
      </c>
      <c r="AO6" s="11">
        <f t="shared" si="33"/>
        <v>27.560000000000002</v>
      </c>
      <c r="AP6" s="11"/>
      <c r="AR6" s="2">
        <f t="shared" si="50"/>
        <v>93.099018459999996</v>
      </c>
      <c r="AS6" s="5">
        <f t="shared" si="34"/>
        <v>3258.4656461</v>
      </c>
      <c r="AT6" s="6">
        <f t="shared" si="35"/>
        <v>35</v>
      </c>
      <c r="AU6" s="7">
        <f t="shared" si="36"/>
        <v>140</v>
      </c>
      <c r="AV6" s="5">
        <f t="shared" si="37"/>
        <v>70</v>
      </c>
      <c r="AX6" s="2">
        <f t="shared" si="51"/>
        <v>36.417570000000005</v>
      </c>
      <c r="AY6" s="5">
        <f t="shared" si="38"/>
        <v>4297.2732600000008</v>
      </c>
      <c r="AZ6" s="6">
        <f t="shared" si="39"/>
        <v>118.00000000000001</v>
      </c>
      <c r="BA6" s="7">
        <f t="shared" si="40"/>
        <v>472</v>
      </c>
      <c r="BB6" s="5">
        <f t="shared" si="41"/>
        <v>56.64</v>
      </c>
    </row>
    <row r="7" spans="1:54" x14ac:dyDescent="0.25">
      <c r="A7" s="10">
        <f t="shared" si="42"/>
        <v>96.378682804199983</v>
      </c>
      <c r="B7" s="11">
        <f t="shared" si="43"/>
        <v>385.51473121679993</v>
      </c>
      <c r="C7" s="12">
        <f t="shared" si="7"/>
        <v>4</v>
      </c>
      <c r="D7" s="13">
        <f t="shared" si="8"/>
        <v>49</v>
      </c>
      <c r="E7" s="11">
        <f t="shared" si="9"/>
        <v>34.299999999999997</v>
      </c>
      <c r="F7" s="11"/>
      <c r="G7" s="10">
        <f t="shared" si="44"/>
        <v>105.71794924880001</v>
      </c>
      <c r="H7" s="11">
        <f t="shared" si="45"/>
        <v>528.58974624400003</v>
      </c>
      <c r="I7" s="12">
        <f t="shared" si="10"/>
        <v>5</v>
      </c>
      <c r="J7" s="13">
        <f t="shared" si="11"/>
        <v>25</v>
      </c>
      <c r="K7" s="11">
        <f t="shared" si="12"/>
        <v>17.5</v>
      </c>
      <c r="L7" s="11"/>
      <c r="M7" s="2">
        <f t="shared" si="46"/>
        <v>10.498087191340002</v>
      </c>
      <c r="N7" s="5">
        <f t="shared" si="13"/>
        <v>157.47130787010002</v>
      </c>
      <c r="O7" s="6">
        <f t="shared" si="14"/>
        <v>15</v>
      </c>
      <c r="P7" s="7">
        <f t="shared" si="15"/>
        <v>110</v>
      </c>
      <c r="Q7" s="5">
        <f t="shared" si="16"/>
        <v>7.7000000000000011</v>
      </c>
      <c r="S7" s="10">
        <f t="shared" si="47"/>
        <v>117.225672681714</v>
      </c>
      <c r="T7" s="11">
        <f t="shared" si="17"/>
        <v>2110.0621082708521</v>
      </c>
      <c r="U7" s="12">
        <f t="shared" si="18"/>
        <v>18</v>
      </c>
      <c r="V7" s="13">
        <f t="shared" si="19"/>
        <v>90</v>
      </c>
      <c r="W7" s="11">
        <f t="shared" si="20"/>
        <v>66.599999999999994</v>
      </c>
      <c r="Y7" s="10">
        <f t="shared" si="48"/>
        <v>90.3620340545</v>
      </c>
      <c r="Z7" s="11">
        <f t="shared" si="21"/>
        <v>1084.3444086540001</v>
      </c>
      <c r="AA7" s="12">
        <f t="shared" si="22"/>
        <v>12</v>
      </c>
      <c r="AB7" s="13">
        <f t="shared" si="23"/>
        <v>60</v>
      </c>
      <c r="AC7" s="11">
        <f t="shared" si="24"/>
        <v>42</v>
      </c>
      <c r="AE7" s="10">
        <f t="shared" si="49"/>
        <v>78.616087504000006</v>
      </c>
      <c r="AF7" s="11">
        <f t="shared" si="25"/>
        <v>1022.0091375520001</v>
      </c>
      <c r="AG7" s="12">
        <f t="shared" si="26"/>
        <v>13</v>
      </c>
      <c r="AH7" s="13">
        <f t="shared" si="27"/>
        <v>65</v>
      </c>
      <c r="AI7" s="11">
        <f t="shared" si="28"/>
        <v>47.449999999999996</v>
      </c>
      <c r="AJ7" s="11"/>
      <c r="AK7" s="10">
        <f t="shared" si="29"/>
        <v>82.103656389000008</v>
      </c>
      <c r="AL7" s="11">
        <f t="shared" si="30"/>
        <v>1067.3475330570002</v>
      </c>
      <c r="AM7" s="12">
        <f t="shared" si="31"/>
        <v>13.000000000000002</v>
      </c>
      <c r="AN7" s="13">
        <f t="shared" si="32"/>
        <v>65</v>
      </c>
      <c r="AO7" s="11">
        <f t="shared" si="33"/>
        <v>34.450000000000003</v>
      </c>
      <c r="AP7" s="11"/>
      <c r="AR7" s="2">
        <f t="shared" si="50"/>
        <v>94.030008644600002</v>
      </c>
      <c r="AS7" s="5">
        <f t="shared" si="34"/>
        <v>3291.0503025610001</v>
      </c>
      <c r="AT7" s="6">
        <f t="shared" si="35"/>
        <v>35</v>
      </c>
      <c r="AU7" s="7">
        <f t="shared" si="36"/>
        <v>175</v>
      </c>
      <c r="AV7" s="5">
        <f t="shared" si="37"/>
        <v>87.5</v>
      </c>
      <c r="AX7" s="2">
        <f t="shared" si="51"/>
        <v>36.781745700000002</v>
      </c>
      <c r="AY7" s="5">
        <f t="shared" si="38"/>
        <v>4340.2459926000001</v>
      </c>
      <c r="AZ7" s="6">
        <f t="shared" si="39"/>
        <v>118</v>
      </c>
      <c r="BA7" s="7">
        <f t="shared" si="40"/>
        <v>590</v>
      </c>
      <c r="BB7" s="5">
        <f t="shared" si="41"/>
        <v>70.8</v>
      </c>
    </row>
    <row r="8" spans="1:54" x14ac:dyDescent="0.25">
      <c r="A8" s="10">
        <f t="shared" si="42"/>
        <v>97.342469632241986</v>
      </c>
      <c r="B8" s="11">
        <f t="shared" si="43"/>
        <v>389.36987852896794</v>
      </c>
      <c r="C8" s="12">
        <f t="shared" si="7"/>
        <v>4</v>
      </c>
      <c r="D8" s="13">
        <f t="shared" si="8"/>
        <v>53</v>
      </c>
      <c r="E8" s="11">
        <f t="shared" si="9"/>
        <v>37.099999999999994</v>
      </c>
      <c r="F8" s="11"/>
      <c r="G8" s="10">
        <f t="shared" si="44"/>
        <v>106.77512874128801</v>
      </c>
      <c r="H8" s="11">
        <f t="shared" si="45"/>
        <v>533.87564370644009</v>
      </c>
      <c r="I8" s="12">
        <f t="shared" si="10"/>
        <v>5</v>
      </c>
      <c r="J8" s="13">
        <f t="shared" si="11"/>
        <v>30</v>
      </c>
      <c r="K8" s="11">
        <f t="shared" si="12"/>
        <v>21</v>
      </c>
      <c r="L8" s="11"/>
      <c r="M8" s="2">
        <f t="shared" si="46"/>
        <v>10.603068063253401</v>
      </c>
      <c r="N8" s="5">
        <f t="shared" si="13"/>
        <v>159.04602094880102</v>
      </c>
      <c r="O8" s="6">
        <f t="shared" si="14"/>
        <v>15</v>
      </c>
      <c r="P8" s="7">
        <f t="shared" si="15"/>
        <v>125</v>
      </c>
      <c r="Q8" s="5">
        <f t="shared" si="16"/>
        <v>8.75</v>
      </c>
      <c r="S8" s="10">
        <f t="shared" si="47"/>
        <v>118.046252390486</v>
      </c>
      <c r="T8" s="11">
        <f t="shared" si="17"/>
        <v>2124.8325430287482</v>
      </c>
      <c r="U8" s="12">
        <f t="shared" si="18"/>
        <v>18</v>
      </c>
      <c r="V8" s="13">
        <f t="shared" si="19"/>
        <v>108</v>
      </c>
      <c r="W8" s="11">
        <f t="shared" si="20"/>
        <v>79.92</v>
      </c>
      <c r="Y8" s="10">
        <f t="shared" si="48"/>
        <v>91.265654395045004</v>
      </c>
      <c r="Z8" s="11">
        <f t="shared" si="21"/>
        <v>1095.1878527405402</v>
      </c>
      <c r="AA8" s="12">
        <f t="shared" si="22"/>
        <v>12.000000000000002</v>
      </c>
      <c r="AB8" s="13">
        <f t="shared" si="23"/>
        <v>72</v>
      </c>
      <c r="AC8" s="11">
        <f t="shared" si="24"/>
        <v>50.4</v>
      </c>
      <c r="AE8" s="10">
        <f t="shared" si="49"/>
        <v>79.402248379040003</v>
      </c>
      <c r="AF8" s="11">
        <f t="shared" si="25"/>
        <v>1032.2292289275201</v>
      </c>
      <c r="AG8" s="12">
        <f t="shared" si="26"/>
        <v>13.000000000000002</v>
      </c>
      <c r="AH8" s="13">
        <f t="shared" si="27"/>
        <v>78</v>
      </c>
      <c r="AI8" s="11">
        <f t="shared" si="28"/>
        <v>56.94</v>
      </c>
      <c r="AJ8" s="11"/>
      <c r="AK8" s="10">
        <f t="shared" si="29"/>
        <v>82.924692952890013</v>
      </c>
      <c r="AL8" s="11">
        <f t="shared" si="30"/>
        <v>1078.0210083875702</v>
      </c>
      <c r="AM8" s="12">
        <f t="shared" si="31"/>
        <v>13</v>
      </c>
      <c r="AN8" s="13">
        <f t="shared" si="32"/>
        <v>78</v>
      </c>
      <c r="AO8" s="11">
        <f t="shared" si="33"/>
        <v>41.34</v>
      </c>
      <c r="AP8" s="11"/>
      <c r="AR8" s="2">
        <f t="shared" si="50"/>
        <v>94.970308731046003</v>
      </c>
      <c r="AS8" s="5">
        <f t="shared" si="34"/>
        <v>3323.9608055866101</v>
      </c>
      <c r="AT8" s="6">
        <f t="shared" si="35"/>
        <v>35</v>
      </c>
      <c r="AU8" s="7">
        <f t="shared" si="36"/>
        <v>210</v>
      </c>
      <c r="AV8" s="5">
        <f t="shared" si="37"/>
        <v>105</v>
      </c>
      <c r="AX8" s="2">
        <f t="shared" si="51"/>
        <v>37.149563157000003</v>
      </c>
      <c r="AY8" s="5">
        <f t="shared" si="38"/>
        <v>4383.6484525260003</v>
      </c>
      <c r="AZ8" s="6">
        <f t="shared" si="39"/>
        <v>118</v>
      </c>
      <c r="BA8" s="7">
        <f t="shared" si="40"/>
        <v>708</v>
      </c>
      <c r="BB8" s="5">
        <f t="shared" si="41"/>
        <v>84.96</v>
      </c>
    </row>
    <row r="9" spans="1:54" x14ac:dyDescent="0.25">
      <c r="A9" s="10">
        <f t="shared" si="42"/>
        <v>98.315894328564411</v>
      </c>
      <c r="B9" s="11">
        <f t="shared" si="43"/>
        <v>393.26357731425765</v>
      </c>
      <c r="C9" s="12">
        <f t="shared" si="7"/>
        <v>4</v>
      </c>
      <c r="D9" s="13">
        <f t="shared" si="8"/>
        <v>57</v>
      </c>
      <c r="E9" s="11">
        <f t="shared" si="9"/>
        <v>39.9</v>
      </c>
      <c r="F9" s="11"/>
      <c r="G9" s="10">
        <f t="shared" si="44"/>
        <v>107.84288002870089</v>
      </c>
      <c r="H9" s="11">
        <f t="shared" si="45"/>
        <v>539.21440014350446</v>
      </c>
      <c r="I9" s="12">
        <f t="shared" si="10"/>
        <v>5</v>
      </c>
      <c r="J9" s="13">
        <f t="shared" si="11"/>
        <v>35</v>
      </c>
      <c r="K9" s="11">
        <f t="shared" si="12"/>
        <v>24.5</v>
      </c>
      <c r="L9" s="11"/>
      <c r="M9" s="2">
        <f t="shared" si="46"/>
        <v>10.709098743885935</v>
      </c>
      <c r="N9" s="5">
        <f t="shared" si="13"/>
        <v>160.63648115828903</v>
      </c>
      <c r="O9" s="6">
        <f t="shared" si="14"/>
        <v>15</v>
      </c>
      <c r="P9" s="7">
        <f t="shared" si="15"/>
        <v>140</v>
      </c>
      <c r="Q9" s="5">
        <f t="shared" si="16"/>
        <v>9.8000000000000007</v>
      </c>
      <c r="S9" s="10">
        <f t="shared" si="47"/>
        <v>118.8725761572194</v>
      </c>
      <c r="T9" s="11">
        <f t="shared" si="17"/>
        <v>2139.7063708299493</v>
      </c>
      <c r="U9" s="12">
        <f t="shared" si="18"/>
        <v>18</v>
      </c>
      <c r="V9" s="13">
        <f t="shared" si="19"/>
        <v>126</v>
      </c>
      <c r="W9" s="11">
        <f t="shared" si="20"/>
        <v>93.24</v>
      </c>
      <c r="Y9" s="10">
        <f t="shared" si="48"/>
        <v>92.178310938995452</v>
      </c>
      <c r="Z9" s="11">
        <f t="shared" si="21"/>
        <v>1106.1397312679455</v>
      </c>
      <c r="AA9" s="12">
        <f t="shared" si="22"/>
        <v>12.000000000000002</v>
      </c>
      <c r="AB9" s="13">
        <f t="shared" si="23"/>
        <v>84</v>
      </c>
      <c r="AC9" s="11">
        <f t="shared" si="24"/>
        <v>58.8</v>
      </c>
      <c r="AE9" s="10">
        <f t="shared" si="49"/>
        <v>80.196270862830403</v>
      </c>
      <c r="AF9" s="11">
        <f t="shared" si="25"/>
        <v>1042.5515212167952</v>
      </c>
      <c r="AG9" s="12">
        <f t="shared" si="26"/>
        <v>13</v>
      </c>
      <c r="AH9" s="13">
        <f t="shared" si="27"/>
        <v>91</v>
      </c>
      <c r="AI9" s="11">
        <f t="shared" si="28"/>
        <v>66.429999999999993</v>
      </c>
      <c r="AJ9" s="11"/>
      <c r="AK9" s="10">
        <f t="shared" si="29"/>
        <v>83.753939882418919</v>
      </c>
      <c r="AL9" s="11">
        <f t="shared" si="30"/>
        <v>1088.801218471446</v>
      </c>
      <c r="AM9" s="12">
        <f t="shared" si="31"/>
        <v>13</v>
      </c>
      <c r="AN9" s="13">
        <f t="shared" si="32"/>
        <v>91</v>
      </c>
      <c r="AO9" s="11">
        <f t="shared" si="33"/>
        <v>48.230000000000004</v>
      </c>
      <c r="AP9" s="11"/>
      <c r="AR9" s="2">
        <f t="shared" si="50"/>
        <v>95.920011818356457</v>
      </c>
      <c r="AS9" s="5">
        <f t="shared" si="34"/>
        <v>3357.2004136424762</v>
      </c>
      <c r="AT9" s="6">
        <f t="shared" si="35"/>
        <v>35</v>
      </c>
      <c r="AU9" s="7">
        <f t="shared" si="36"/>
        <v>245</v>
      </c>
      <c r="AV9" s="5">
        <f t="shared" si="37"/>
        <v>122.5</v>
      </c>
      <c r="AX9" s="2">
        <f t="shared" si="51"/>
        <v>37.521058788570002</v>
      </c>
      <c r="AY9" s="5">
        <f t="shared" si="38"/>
        <v>4427.4849370512602</v>
      </c>
      <c r="AZ9" s="6">
        <f t="shared" si="39"/>
        <v>118</v>
      </c>
      <c r="BA9" s="7">
        <f t="shared" si="40"/>
        <v>826</v>
      </c>
      <c r="BB9" s="5">
        <f t="shared" si="41"/>
        <v>99.11999999999999</v>
      </c>
    </row>
    <row r="10" spans="1:54" x14ac:dyDescent="0.25">
      <c r="A10" s="10">
        <f t="shared" si="42"/>
        <v>99.299053271850056</v>
      </c>
      <c r="B10" s="11">
        <f t="shared" si="43"/>
        <v>397.19621308740022</v>
      </c>
      <c r="C10" s="12">
        <f t="shared" si="7"/>
        <v>4</v>
      </c>
      <c r="D10" s="13">
        <f t="shared" si="8"/>
        <v>61</v>
      </c>
      <c r="E10" s="11">
        <f t="shared" si="9"/>
        <v>42.699999999999996</v>
      </c>
      <c r="F10" s="11"/>
      <c r="G10" s="10">
        <f t="shared" si="44"/>
        <v>108.9213088289879</v>
      </c>
      <c r="H10" s="11">
        <f t="shared" si="45"/>
        <v>544.60654414493956</v>
      </c>
      <c r="I10" s="12">
        <f t="shared" si="10"/>
        <v>5</v>
      </c>
      <c r="J10" s="13">
        <f t="shared" si="11"/>
        <v>40</v>
      </c>
      <c r="K10" s="11">
        <f t="shared" si="12"/>
        <v>28</v>
      </c>
      <c r="L10" s="11"/>
      <c r="M10" s="2">
        <f t="shared" si="46"/>
        <v>10.816189731324794</v>
      </c>
      <c r="N10" s="5">
        <f t="shared" si="13"/>
        <v>162.24284596987192</v>
      </c>
      <c r="O10" s="6">
        <f t="shared" si="14"/>
        <v>15.000000000000002</v>
      </c>
      <c r="P10" s="7">
        <f t="shared" si="15"/>
        <v>155</v>
      </c>
      <c r="Q10" s="5">
        <f t="shared" si="16"/>
        <v>10.850000000000001</v>
      </c>
      <c r="S10" s="10">
        <f t="shared" si="47"/>
        <v>119.70468419031994</v>
      </c>
      <c r="T10" s="11">
        <f t="shared" si="17"/>
        <v>2154.684315425759</v>
      </c>
      <c r="U10" s="12">
        <f t="shared" si="18"/>
        <v>18</v>
      </c>
      <c r="V10" s="13">
        <f t="shared" si="19"/>
        <v>144</v>
      </c>
      <c r="W10" s="11">
        <f t="shared" si="20"/>
        <v>106.56</v>
      </c>
      <c r="Y10" s="10">
        <f t="shared" si="48"/>
        <v>93.100094048385401</v>
      </c>
      <c r="Z10" s="11">
        <f t="shared" si="21"/>
        <v>1117.2011285806248</v>
      </c>
      <c r="AA10" s="12">
        <f t="shared" si="22"/>
        <v>12</v>
      </c>
      <c r="AB10" s="13">
        <f t="shared" si="23"/>
        <v>96</v>
      </c>
      <c r="AC10" s="11">
        <f t="shared" si="24"/>
        <v>67.199999999999989</v>
      </c>
      <c r="AE10" s="10">
        <f t="shared" si="49"/>
        <v>80.998233571458712</v>
      </c>
      <c r="AF10" s="11">
        <f t="shared" si="25"/>
        <v>1052.9770364289632</v>
      </c>
      <c r="AG10" s="12">
        <f t="shared" si="26"/>
        <v>12.999999999999998</v>
      </c>
      <c r="AH10" s="13">
        <f t="shared" si="27"/>
        <v>104</v>
      </c>
      <c r="AI10" s="11">
        <f t="shared" si="28"/>
        <v>75.92</v>
      </c>
      <c r="AJ10" s="11"/>
      <c r="AK10" s="10">
        <f t="shared" si="29"/>
        <v>84.59147928124311</v>
      </c>
      <c r="AL10" s="11">
        <f t="shared" si="30"/>
        <v>1099.6892306561604</v>
      </c>
      <c r="AM10" s="12">
        <f t="shared" si="31"/>
        <v>13</v>
      </c>
      <c r="AN10" s="13">
        <f t="shared" si="32"/>
        <v>104</v>
      </c>
      <c r="AO10" s="11">
        <f t="shared" si="33"/>
        <v>55.120000000000005</v>
      </c>
      <c r="AP10" s="11"/>
      <c r="AR10" s="2">
        <f t="shared" si="50"/>
        <v>96.879211936540017</v>
      </c>
      <c r="AS10" s="5">
        <f t="shared" si="34"/>
        <v>3390.7724177789005</v>
      </c>
      <c r="AT10" s="6">
        <f t="shared" si="35"/>
        <v>35</v>
      </c>
      <c r="AU10" s="7">
        <f t="shared" si="36"/>
        <v>280</v>
      </c>
      <c r="AV10" s="5">
        <f t="shared" si="37"/>
        <v>140</v>
      </c>
      <c r="AX10" s="2">
        <f t="shared" si="51"/>
        <v>37.896269376455699</v>
      </c>
      <c r="AY10" s="5">
        <f t="shared" si="38"/>
        <v>4471.7597864217723</v>
      </c>
      <c r="AZ10" s="6">
        <f t="shared" si="39"/>
        <v>118</v>
      </c>
      <c r="BA10" s="7">
        <f t="shared" si="40"/>
        <v>944</v>
      </c>
      <c r="BB10" s="5">
        <f t="shared" si="41"/>
        <v>113.28</v>
      </c>
    </row>
    <row r="11" spans="1:54" x14ac:dyDescent="0.25">
      <c r="A11" s="10">
        <f t="shared" si="42"/>
        <v>100.29204380456855</v>
      </c>
      <c r="B11" s="11">
        <f t="shared" si="43"/>
        <v>401.1681752182742</v>
      </c>
      <c r="C11" s="12">
        <f t="shared" si="7"/>
        <v>4</v>
      </c>
      <c r="D11" s="13">
        <f t="shared" si="8"/>
        <v>65</v>
      </c>
      <c r="E11" s="11">
        <f t="shared" si="9"/>
        <v>45.5</v>
      </c>
      <c r="F11" s="11"/>
      <c r="G11" s="10">
        <f t="shared" si="44"/>
        <v>110.01052191727779</v>
      </c>
      <c r="H11" s="11">
        <f t="shared" si="45"/>
        <v>550.05260958638894</v>
      </c>
      <c r="I11" s="12">
        <f t="shared" si="10"/>
        <v>5</v>
      </c>
      <c r="J11" s="13">
        <f t="shared" si="11"/>
        <v>45</v>
      </c>
      <c r="K11" s="11">
        <f t="shared" si="12"/>
        <v>31.499999999999996</v>
      </c>
      <c r="L11" s="11"/>
      <c r="M11" s="2">
        <f t="shared" si="46"/>
        <v>10.924351628638043</v>
      </c>
      <c r="N11" s="5">
        <f t="shared" si="13"/>
        <v>163.86527442957063</v>
      </c>
      <c r="O11" s="6">
        <f t="shared" si="14"/>
        <v>15</v>
      </c>
      <c r="P11" s="7">
        <f t="shared" si="15"/>
        <v>170</v>
      </c>
      <c r="Q11" s="5">
        <f t="shared" si="16"/>
        <v>11.9</v>
      </c>
      <c r="S11" s="10">
        <f t="shared" si="47"/>
        <v>120.54261697965218</v>
      </c>
      <c r="T11" s="11">
        <f t="shared" si="17"/>
        <v>2169.7671056337394</v>
      </c>
      <c r="U11" s="12">
        <f t="shared" si="18"/>
        <v>18</v>
      </c>
      <c r="V11" s="13">
        <f t="shared" si="19"/>
        <v>162</v>
      </c>
      <c r="W11" s="11">
        <f t="shared" si="20"/>
        <v>119.88</v>
      </c>
      <c r="Y11" s="10">
        <f t="shared" si="48"/>
        <v>94.031094988869256</v>
      </c>
      <c r="Z11" s="11">
        <f t="shared" si="21"/>
        <v>1128.3731398664311</v>
      </c>
      <c r="AA11" s="12">
        <f t="shared" si="22"/>
        <v>12</v>
      </c>
      <c r="AB11" s="13">
        <f t="shared" si="23"/>
        <v>108</v>
      </c>
      <c r="AC11" s="11">
        <f t="shared" si="24"/>
        <v>75.599999999999994</v>
      </c>
      <c r="AE11" s="10">
        <f t="shared" si="49"/>
        <v>81.808215907173306</v>
      </c>
      <c r="AF11" s="11">
        <f t="shared" si="25"/>
        <v>1063.506806793253</v>
      </c>
      <c r="AG11" s="12">
        <f t="shared" si="26"/>
        <v>13</v>
      </c>
      <c r="AH11" s="13">
        <f t="shared" si="27"/>
        <v>117</v>
      </c>
      <c r="AI11" s="11">
        <f t="shared" si="28"/>
        <v>85.41</v>
      </c>
      <c r="AJ11" s="11"/>
      <c r="AK11" s="10">
        <f t="shared" si="29"/>
        <v>85.437394074055547</v>
      </c>
      <c r="AL11" s="11">
        <f t="shared" si="30"/>
        <v>1110.686122962722</v>
      </c>
      <c r="AM11" s="12">
        <f t="shared" si="31"/>
        <v>13</v>
      </c>
      <c r="AN11" s="13">
        <f t="shared" si="32"/>
        <v>117</v>
      </c>
      <c r="AO11" s="11">
        <f t="shared" si="33"/>
        <v>62.010000000000005</v>
      </c>
      <c r="AP11" s="11"/>
      <c r="AR11" s="2">
        <f t="shared" si="50"/>
        <v>97.84800405590542</v>
      </c>
      <c r="AS11" s="5">
        <f t="shared" si="34"/>
        <v>3424.6801419566896</v>
      </c>
      <c r="AT11" s="6">
        <f t="shared" si="35"/>
        <v>35</v>
      </c>
      <c r="AU11" s="7">
        <f t="shared" si="36"/>
        <v>315</v>
      </c>
      <c r="AV11" s="5">
        <f t="shared" si="37"/>
        <v>157.5</v>
      </c>
      <c r="AX11" s="2">
        <f t="shared" si="51"/>
        <v>38.275232070220255</v>
      </c>
      <c r="AY11" s="5">
        <f t="shared" si="38"/>
        <v>4516.4773842859904</v>
      </c>
      <c r="AZ11" s="6">
        <f t="shared" si="39"/>
        <v>118.00000000000001</v>
      </c>
      <c r="BA11" s="7">
        <f t="shared" si="40"/>
        <v>1062</v>
      </c>
      <c r="BB11" s="5">
        <f t="shared" si="41"/>
        <v>127.44</v>
      </c>
    </row>
    <row r="12" spans="1:54" x14ac:dyDescent="0.25">
      <c r="A12" s="10">
        <f t="shared" si="42"/>
        <v>101.29496424261424</v>
      </c>
      <c r="B12" s="11">
        <f t="shared" si="43"/>
        <v>405.17985697045697</v>
      </c>
      <c r="C12" s="12">
        <f t="shared" si="7"/>
        <v>4</v>
      </c>
      <c r="D12" s="13">
        <f t="shared" si="8"/>
        <v>69</v>
      </c>
      <c r="E12" s="11">
        <f t="shared" si="9"/>
        <v>48.3</v>
      </c>
      <c r="F12" s="11"/>
      <c r="G12" s="10">
        <f t="shared" si="44"/>
        <v>111.11062713645056</v>
      </c>
      <c r="H12" s="11">
        <f t="shared" si="45"/>
        <v>555.55313568225279</v>
      </c>
      <c r="I12" s="12">
        <f t="shared" si="10"/>
        <v>5</v>
      </c>
      <c r="J12" s="13">
        <f t="shared" si="11"/>
        <v>50</v>
      </c>
      <c r="K12" s="11">
        <f t="shared" si="12"/>
        <v>35</v>
      </c>
      <c r="L12" s="11"/>
      <c r="M12" s="2">
        <f t="shared" si="46"/>
        <v>11.033595144924423</v>
      </c>
      <c r="N12" s="5">
        <f t="shared" si="13"/>
        <v>165.50392717386634</v>
      </c>
      <c r="O12" s="6">
        <f t="shared" si="14"/>
        <v>15</v>
      </c>
      <c r="P12" s="7">
        <f t="shared" si="15"/>
        <v>185</v>
      </c>
      <c r="Q12" s="5">
        <f t="shared" si="16"/>
        <v>12.950000000000001</v>
      </c>
      <c r="S12" s="10">
        <f t="shared" si="47"/>
        <v>121.38641529850975</v>
      </c>
      <c r="T12" s="11">
        <f t="shared" si="17"/>
        <v>2184.9554753731754</v>
      </c>
      <c r="U12" s="12">
        <f t="shared" si="18"/>
        <v>18</v>
      </c>
      <c r="V12" s="13">
        <f t="shared" si="19"/>
        <v>180</v>
      </c>
      <c r="W12" s="11">
        <f t="shared" si="20"/>
        <v>133.19999999999999</v>
      </c>
      <c r="Y12" s="10">
        <f t="shared" si="48"/>
        <v>94.971405938757954</v>
      </c>
      <c r="Z12" s="11">
        <f t="shared" si="21"/>
        <v>1139.6568712650956</v>
      </c>
      <c r="AA12" s="12">
        <f t="shared" si="22"/>
        <v>12.000000000000002</v>
      </c>
      <c r="AB12" s="13">
        <f t="shared" si="23"/>
        <v>120</v>
      </c>
      <c r="AC12" s="11">
        <f t="shared" si="24"/>
        <v>84</v>
      </c>
      <c r="AE12" s="10">
        <f t="shared" si="49"/>
        <v>82.626298066245042</v>
      </c>
      <c r="AF12" s="11">
        <f t="shared" si="25"/>
        <v>1074.1418748611854</v>
      </c>
      <c r="AG12" s="12">
        <f t="shared" si="26"/>
        <v>12.999999999999998</v>
      </c>
      <c r="AH12" s="13">
        <f t="shared" si="27"/>
        <v>130</v>
      </c>
      <c r="AI12" s="11">
        <f t="shared" si="28"/>
        <v>94.899999999999991</v>
      </c>
      <c r="AJ12" s="11"/>
      <c r="AK12" s="10">
        <f t="shared" si="29"/>
        <v>86.291768014796105</v>
      </c>
      <c r="AL12" s="11">
        <f t="shared" si="30"/>
        <v>1121.7929841923494</v>
      </c>
      <c r="AM12" s="12">
        <f t="shared" si="31"/>
        <v>13</v>
      </c>
      <c r="AN12" s="13">
        <f t="shared" si="32"/>
        <v>130</v>
      </c>
      <c r="AO12" s="11">
        <f t="shared" si="33"/>
        <v>68.900000000000006</v>
      </c>
      <c r="AP12" s="11"/>
      <c r="AR12" s="2">
        <f t="shared" si="50"/>
        <v>98.826484096464469</v>
      </c>
      <c r="AS12" s="5">
        <f t="shared" si="34"/>
        <v>3458.9269433762565</v>
      </c>
      <c r="AT12" s="6">
        <f t="shared" si="35"/>
        <v>35</v>
      </c>
      <c r="AU12" s="7">
        <f t="shared" si="36"/>
        <v>350</v>
      </c>
      <c r="AV12" s="5">
        <f t="shared" si="37"/>
        <v>175</v>
      </c>
      <c r="AX12" s="2">
        <f t="shared" si="51"/>
        <v>38.657984390922458</v>
      </c>
      <c r="AY12" s="5">
        <f t="shared" si="38"/>
        <v>4561.6421581288496</v>
      </c>
      <c r="AZ12" s="6">
        <f t="shared" si="39"/>
        <v>117.99999999999999</v>
      </c>
      <c r="BA12" s="7">
        <f t="shared" si="40"/>
        <v>1180</v>
      </c>
      <c r="BB12" s="5">
        <f t="shared" si="41"/>
        <v>141.6</v>
      </c>
    </row>
    <row r="13" spans="1:54" x14ac:dyDescent="0.25">
      <c r="A13" s="10">
        <f t="shared" si="42"/>
        <v>102.30791388504038</v>
      </c>
      <c r="B13" s="11">
        <f t="shared" si="43"/>
        <v>409.23165554016151</v>
      </c>
      <c r="C13" s="12">
        <f t="shared" si="7"/>
        <v>4</v>
      </c>
      <c r="D13" s="13">
        <f t="shared" si="8"/>
        <v>73</v>
      </c>
      <c r="E13" s="11">
        <f t="shared" si="9"/>
        <v>51.099999999999994</v>
      </c>
      <c r="F13" s="11"/>
      <c r="G13" s="10">
        <f t="shared" si="44"/>
        <v>112.22173340781507</v>
      </c>
      <c r="H13" s="11">
        <f t="shared" si="45"/>
        <v>561.10866703907527</v>
      </c>
      <c r="I13" s="12">
        <f t="shared" si="10"/>
        <v>4.9999999999999991</v>
      </c>
      <c r="J13" s="13">
        <f t="shared" si="11"/>
        <v>55</v>
      </c>
      <c r="K13" s="11">
        <f t="shared" si="12"/>
        <v>38.5</v>
      </c>
      <c r="L13" s="11"/>
      <c r="M13" s="2">
        <f t="shared" si="46"/>
        <v>11.143931096373667</v>
      </c>
      <c r="N13" s="5">
        <f t="shared" si="13"/>
        <v>167.15896644560499</v>
      </c>
      <c r="O13" s="6">
        <f t="shared" si="14"/>
        <v>14.999999999999998</v>
      </c>
      <c r="P13" s="7">
        <f t="shared" si="15"/>
        <v>200</v>
      </c>
      <c r="Q13" s="5">
        <f t="shared" si="16"/>
        <v>14.000000000000002</v>
      </c>
      <c r="S13" s="10">
        <f t="shared" si="47"/>
        <v>122.23612020559932</v>
      </c>
      <c r="T13" s="11">
        <f t="shared" si="17"/>
        <v>2200.2501637007877</v>
      </c>
      <c r="U13" s="12">
        <f t="shared" si="18"/>
        <v>18</v>
      </c>
      <c r="V13" s="13">
        <f t="shared" si="19"/>
        <v>198</v>
      </c>
      <c r="W13" s="11">
        <f t="shared" si="20"/>
        <v>146.52000000000001</v>
      </c>
      <c r="Y13" s="10">
        <f t="shared" si="48"/>
        <v>95.921119998145528</v>
      </c>
      <c r="Z13" s="11">
        <f t="shared" si="21"/>
        <v>1151.0534399777464</v>
      </c>
      <c r="AA13" s="12">
        <f t="shared" si="22"/>
        <v>12</v>
      </c>
      <c r="AB13" s="13">
        <f t="shared" si="23"/>
        <v>132</v>
      </c>
      <c r="AC13" s="11">
        <f t="shared" si="24"/>
        <v>92.399999999999991</v>
      </c>
      <c r="AE13" s="10">
        <f t="shared" si="49"/>
        <v>83.452561046907491</v>
      </c>
      <c r="AF13" s="11">
        <f t="shared" si="25"/>
        <v>1084.8832936097974</v>
      </c>
      <c r="AG13" s="12">
        <f t="shared" si="26"/>
        <v>13</v>
      </c>
      <c r="AH13" s="13">
        <f t="shared" si="27"/>
        <v>143</v>
      </c>
      <c r="AI13" s="11">
        <f t="shared" si="28"/>
        <v>104.39</v>
      </c>
      <c r="AJ13" s="11"/>
      <c r="AK13" s="10">
        <f t="shared" si="29"/>
        <v>87.154685694944064</v>
      </c>
      <c r="AL13" s="11">
        <f t="shared" si="30"/>
        <v>1133.0109140342729</v>
      </c>
      <c r="AM13" s="12">
        <f t="shared" si="31"/>
        <v>13</v>
      </c>
      <c r="AN13" s="13">
        <f t="shared" si="32"/>
        <v>143</v>
      </c>
      <c r="AO13" s="11">
        <f t="shared" si="33"/>
        <v>75.790000000000006</v>
      </c>
      <c r="AP13" s="11"/>
      <c r="AR13" s="2">
        <f t="shared" si="50"/>
        <v>99.814748937429115</v>
      </c>
      <c r="AS13" s="5">
        <f t="shared" si="34"/>
        <v>3493.5162128100192</v>
      </c>
      <c r="AT13" s="6">
        <f t="shared" si="35"/>
        <v>35</v>
      </c>
      <c r="AU13" s="7">
        <f t="shared" si="36"/>
        <v>385</v>
      </c>
      <c r="AV13" s="5">
        <f t="shared" si="37"/>
        <v>192.5</v>
      </c>
      <c r="AX13" s="2">
        <f t="shared" si="51"/>
        <v>39.044564234831682</v>
      </c>
      <c r="AY13" s="5">
        <f t="shared" si="38"/>
        <v>4607.2585797101383</v>
      </c>
      <c r="AZ13" s="6">
        <f t="shared" si="39"/>
        <v>118</v>
      </c>
      <c r="BA13" s="7">
        <f t="shared" si="40"/>
        <v>1298</v>
      </c>
      <c r="BB13" s="5">
        <f t="shared" si="41"/>
        <v>155.76</v>
      </c>
    </row>
    <row r="14" spans="1:54" x14ac:dyDescent="0.25">
      <c r="A14" s="10">
        <f t="shared" si="42"/>
        <v>103.33099302389078</v>
      </c>
      <c r="B14" s="11">
        <f t="shared" si="43"/>
        <v>413.32397209556314</v>
      </c>
      <c r="C14" s="12">
        <f t="shared" si="7"/>
        <v>4</v>
      </c>
      <c r="D14" s="13">
        <f t="shared" si="8"/>
        <v>77</v>
      </c>
      <c r="E14" s="11">
        <f t="shared" si="9"/>
        <v>53.9</v>
      </c>
      <c r="F14" s="11"/>
      <c r="G14" s="10">
        <f t="shared" si="44"/>
        <v>113.34395074189321</v>
      </c>
      <c r="H14" s="11">
        <f t="shared" si="45"/>
        <v>566.71975370946609</v>
      </c>
      <c r="I14" s="12">
        <f t="shared" si="10"/>
        <v>5</v>
      </c>
      <c r="J14" s="13">
        <f t="shared" si="11"/>
        <v>60</v>
      </c>
      <c r="K14" s="11">
        <f t="shared" si="12"/>
        <v>42</v>
      </c>
      <c r="L14" s="11"/>
      <c r="M14" s="2">
        <f t="shared" si="46"/>
        <v>11.255370407337404</v>
      </c>
      <c r="N14" s="5">
        <f t="shared" si="13"/>
        <v>168.83055611006105</v>
      </c>
      <c r="O14" s="6">
        <f t="shared" si="14"/>
        <v>15</v>
      </c>
      <c r="P14" s="7">
        <f t="shared" si="15"/>
        <v>215</v>
      </c>
      <c r="Q14" s="5">
        <f t="shared" si="16"/>
        <v>15.05</v>
      </c>
      <c r="S14" s="10">
        <f t="shared" si="47"/>
        <v>123.09177304703852</v>
      </c>
      <c r="T14" s="11">
        <f t="shared" si="17"/>
        <v>2215.6519148466932</v>
      </c>
      <c r="U14" s="12">
        <f t="shared" si="18"/>
        <v>18</v>
      </c>
      <c r="V14" s="13">
        <f t="shared" si="19"/>
        <v>216</v>
      </c>
      <c r="W14" s="11">
        <f t="shared" si="20"/>
        <v>159.84</v>
      </c>
      <c r="Y14" s="10">
        <f t="shared" si="48"/>
        <v>96.880331198126981</v>
      </c>
      <c r="Z14" s="11">
        <f t="shared" si="21"/>
        <v>1162.5639743775237</v>
      </c>
      <c r="AA14" s="12">
        <f t="shared" si="22"/>
        <v>11.999999999999998</v>
      </c>
      <c r="AB14" s="13">
        <f t="shared" si="23"/>
        <v>144</v>
      </c>
      <c r="AC14" s="11">
        <f t="shared" si="24"/>
        <v>100.8</v>
      </c>
      <c r="AE14" s="10">
        <f t="shared" si="49"/>
        <v>84.287086657376562</v>
      </c>
      <c r="AF14" s="11">
        <f t="shared" si="25"/>
        <v>1095.7321265458954</v>
      </c>
      <c r="AG14" s="12">
        <f t="shared" si="26"/>
        <v>13.000000000000002</v>
      </c>
      <c r="AH14" s="13">
        <f t="shared" si="27"/>
        <v>156</v>
      </c>
      <c r="AI14" s="11">
        <f t="shared" si="28"/>
        <v>113.88</v>
      </c>
      <c r="AJ14" s="11"/>
      <c r="AK14" s="10">
        <f t="shared" si="29"/>
        <v>88.0262325518935</v>
      </c>
      <c r="AL14" s="11">
        <f t="shared" si="30"/>
        <v>1144.3410231746154</v>
      </c>
      <c r="AM14" s="12">
        <f t="shared" si="31"/>
        <v>13</v>
      </c>
      <c r="AN14" s="13">
        <f t="shared" si="32"/>
        <v>156</v>
      </c>
      <c r="AO14" s="11">
        <f t="shared" si="33"/>
        <v>82.68</v>
      </c>
      <c r="AP14" s="11"/>
      <c r="AR14" s="2">
        <f t="shared" si="50"/>
        <v>100.81289642680341</v>
      </c>
      <c r="AS14" s="5">
        <f t="shared" si="34"/>
        <v>3528.451374938119</v>
      </c>
      <c r="AT14" s="6">
        <f t="shared" si="35"/>
        <v>35</v>
      </c>
      <c r="AU14" s="7">
        <f t="shared" si="36"/>
        <v>420</v>
      </c>
      <c r="AV14" s="5">
        <f t="shared" si="37"/>
        <v>210</v>
      </c>
      <c r="AX14" s="2">
        <f t="shared" si="51"/>
        <v>39.435009877180001</v>
      </c>
      <c r="AY14" s="5">
        <f t="shared" si="38"/>
        <v>4653.3311655072403</v>
      </c>
      <c r="AZ14" s="6">
        <f t="shared" si="39"/>
        <v>118</v>
      </c>
      <c r="BA14" s="7">
        <f t="shared" si="40"/>
        <v>1416</v>
      </c>
      <c r="BB14" s="5">
        <f t="shared" si="41"/>
        <v>169.92</v>
      </c>
    </row>
    <row r="15" spans="1:54" x14ac:dyDescent="0.25">
      <c r="A15" s="10">
        <f t="shared" si="42"/>
        <v>104.3643029541297</v>
      </c>
      <c r="B15" s="11">
        <f t="shared" si="43"/>
        <v>417.45721181651879</v>
      </c>
      <c r="C15" s="12">
        <f t="shared" si="7"/>
        <v>4</v>
      </c>
      <c r="D15" s="13">
        <f t="shared" si="8"/>
        <v>81</v>
      </c>
      <c r="E15" s="11">
        <f t="shared" si="9"/>
        <v>56.699999999999996</v>
      </c>
      <c r="F15" s="11"/>
      <c r="G15" s="10">
        <f t="shared" si="44"/>
        <v>114.47739024931214</v>
      </c>
      <c r="H15" s="11">
        <f t="shared" si="45"/>
        <v>572.38695124656067</v>
      </c>
      <c r="I15" s="12">
        <f t="shared" si="10"/>
        <v>5</v>
      </c>
      <c r="J15" s="13">
        <f t="shared" si="11"/>
        <v>65</v>
      </c>
      <c r="K15" s="11">
        <f t="shared" si="12"/>
        <v>45.5</v>
      </c>
      <c r="L15" s="11"/>
      <c r="M15" s="2">
        <f t="shared" si="46"/>
        <v>11.367924111410778</v>
      </c>
      <c r="N15" s="5">
        <f t="shared" si="13"/>
        <v>170.51886167116166</v>
      </c>
      <c r="O15" s="6">
        <f t="shared" si="14"/>
        <v>15</v>
      </c>
      <c r="P15" s="7">
        <f t="shared" si="15"/>
        <v>230</v>
      </c>
      <c r="Q15" s="5">
        <f t="shared" si="16"/>
        <v>16.100000000000001</v>
      </c>
      <c r="S15" s="10">
        <f t="shared" si="47"/>
        <v>123.95341545836779</v>
      </c>
      <c r="T15" s="11">
        <f t="shared" si="17"/>
        <v>2231.1614782506203</v>
      </c>
      <c r="U15" s="12">
        <f t="shared" si="18"/>
        <v>18</v>
      </c>
      <c r="V15" s="13">
        <f t="shared" si="19"/>
        <v>234</v>
      </c>
      <c r="W15" s="11">
        <f t="shared" si="20"/>
        <v>173.16</v>
      </c>
      <c r="Y15" s="10">
        <f t="shared" si="48"/>
        <v>97.849134510108257</v>
      </c>
      <c r="Z15" s="11">
        <f t="shared" si="21"/>
        <v>1174.1896141212992</v>
      </c>
      <c r="AA15" s="12">
        <f t="shared" si="22"/>
        <v>12.000000000000002</v>
      </c>
      <c r="AB15" s="13">
        <f t="shared" si="23"/>
        <v>156</v>
      </c>
      <c r="AC15" s="11">
        <f t="shared" si="24"/>
        <v>109.19999999999999</v>
      </c>
      <c r="AE15" s="10">
        <f t="shared" si="49"/>
        <v>85.129957523950324</v>
      </c>
      <c r="AF15" s="11">
        <f t="shared" si="25"/>
        <v>1106.6894478113543</v>
      </c>
      <c r="AG15" s="12">
        <f t="shared" si="26"/>
        <v>13</v>
      </c>
      <c r="AH15" s="13">
        <f t="shared" si="27"/>
        <v>169</v>
      </c>
      <c r="AI15" s="11">
        <f t="shared" si="28"/>
        <v>123.36999999999999</v>
      </c>
      <c r="AJ15" s="11"/>
      <c r="AK15" s="10">
        <f t="shared" si="29"/>
        <v>88.906494877412442</v>
      </c>
      <c r="AL15" s="11">
        <f t="shared" si="30"/>
        <v>1155.7844334063618</v>
      </c>
      <c r="AM15" s="12">
        <f t="shared" si="31"/>
        <v>13</v>
      </c>
      <c r="AN15" s="13">
        <f t="shared" si="32"/>
        <v>169</v>
      </c>
      <c r="AO15" s="11">
        <f t="shared" si="33"/>
        <v>89.570000000000007</v>
      </c>
      <c r="AP15" s="11"/>
      <c r="AR15" s="2">
        <f t="shared" si="50"/>
        <v>101.82102539107144</v>
      </c>
      <c r="AS15" s="5">
        <f t="shared" si="34"/>
        <v>3563.7358886875004</v>
      </c>
      <c r="AT15" s="6">
        <f t="shared" si="35"/>
        <v>35</v>
      </c>
      <c r="AU15" s="7">
        <f t="shared" si="36"/>
        <v>455</v>
      </c>
      <c r="AV15" s="5">
        <f t="shared" si="37"/>
        <v>227.5</v>
      </c>
      <c r="AX15" s="2">
        <f t="shared" si="51"/>
        <v>39.829359975951803</v>
      </c>
      <c r="AY15" s="5">
        <f t="shared" si="38"/>
        <v>4699.8644771623131</v>
      </c>
      <c r="AZ15" s="6">
        <f t="shared" si="39"/>
        <v>118.00000000000001</v>
      </c>
      <c r="BA15" s="7">
        <f t="shared" si="40"/>
        <v>1534</v>
      </c>
      <c r="BB15" s="5">
        <f t="shared" si="41"/>
        <v>184.07999999999998</v>
      </c>
    </row>
    <row r="16" spans="1:54" x14ac:dyDescent="0.25">
      <c r="A16" s="10">
        <f t="shared" si="42"/>
        <v>105.407945983671</v>
      </c>
      <c r="B16" s="11">
        <f t="shared" si="43"/>
        <v>421.63178393468399</v>
      </c>
      <c r="C16" s="12">
        <f t="shared" si="7"/>
        <v>4</v>
      </c>
      <c r="D16" s="13">
        <f t="shared" si="8"/>
        <v>85</v>
      </c>
      <c r="E16" s="11">
        <f t="shared" si="9"/>
        <v>59.499999999999993</v>
      </c>
      <c r="F16" s="11"/>
      <c r="G16" s="10">
        <f t="shared" si="44"/>
        <v>115.62216415180526</v>
      </c>
      <c r="H16" s="11">
        <f t="shared" si="45"/>
        <v>578.1108207590263</v>
      </c>
      <c r="I16" s="12">
        <f t="shared" si="10"/>
        <v>5</v>
      </c>
      <c r="J16" s="13">
        <f t="shared" si="11"/>
        <v>70</v>
      </c>
      <c r="K16" s="11">
        <f t="shared" si="12"/>
        <v>49</v>
      </c>
      <c r="L16" s="11"/>
      <c r="M16" s="2">
        <f t="shared" si="46"/>
        <v>11.481603352524886</v>
      </c>
      <c r="N16" s="5">
        <f t="shared" si="13"/>
        <v>172.2240502878733</v>
      </c>
      <c r="O16" s="6">
        <f t="shared" si="14"/>
        <v>15.000000000000002</v>
      </c>
      <c r="P16" s="7">
        <f t="shared" si="15"/>
        <v>245</v>
      </c>
      <c r="Q16" s="5">
        <f t="shared" si="16"/>
        <v>17.150000000000002</v>
      </c>
      <c r="S16" s="10">
        <f t="shared" si="47"/>
        <v>124.82108936657636</v>
      </c>
      <c r="T16" s="11">
        <f t="shared" si="17"/>
        <v>2246.7796085983746</v>
      </c>
      <c r="U16" s="12">
        <f t="shared" si="18"/>
        <v>18</v>
      </c>
      <c r="V16" s="13">
        <f t="shared" si="19"/>
        <v>252</v>
      </c>
      <c r="W16" s="11">
        <f t="shared" si="20"/>
        <v>186.48</v>
      </c>
      <c r="Y16" s="10">
        <f t="shared" si="48"/>
        <v>98.827625855209334</v>
      </c>
      <c r="Z16" s="11">
        <f t="shared" si="21"/>
        <v>1185.9315102625119</v>
      </c>
      <c r="AA16" s="12">
        <f t="shared" si="22"/>
        <v>11.999999999999998</v>
      </c>
      <c r="AB16" s="13">
        <f t="shared" si="23"/>
        <v>168</v>
      </c>
      <c r="AC16" s="11">
        <f t="shared" si="24"/>
        <v>117.6</v>
      </c>
      <c r="AE16" s="10">
        <f t="shared" si="49"/>
        <v>85.981257099189833</v>
      </c>
      <c r="AF16" s="11">
        <f t="shared" si="25"/>
        <v>1117.7563422894677</v>
      </c>
      <c r="AG16" s="12">
        <f t="shared" si="26"/>
        <v>12.999999999999998</v>
      </c>
      <c r="AH16" s="13">
        <f t="shared" si="27"/>
        <v>182</v>
      </c>
      <c r="AI16" s="11">
        <f t="shared" si="28"/>
        <v>132.85999999999999</v>
      </c>
      <c r="AJ16" s="11"/>
      <c r="AK16" s="10">
        <f t="shared" si="29"/>
        <v>89.795559826186562</v>
      </c>
      <c r="AL16" s="11">
        <f t="shared" si="30"/>
        <v>1167.3422777404253</v>
      </c>
      <c r="AM16" s="12">
        <f t="shared" si="31"/>
        <v>13</v>
      </c>
      <c r="AN16" s="13">
        <f t="shared" si="32"/>
        <v>182</v>
      </c>
      <c r="AO16" s="11">
        <f t="shared" si="33"/>
        <v>96.460000000000008</v>
      </c>
      <c r="AP16" s="11"/>
      <c r="AR16" s="2">
        <f t="shared" si="50"/>
        <v>102.83923564498215</v>
      </c>
      <c r="AS16" s="5">
        <f t="shared" si="34"/>
        <v>3599.3732475743755</v>
      </c>
      <c r="AT16" s="6">
        <f t="shared" si="35"/>
        <v>35</v>
      </c>
      <c r="AU16" s="7">
        <f t="shared" si="36"/>
        <v>490</v>
      </c>
      <c r="AV16" s="5">
        <f t="shared" si="37"/>
        <v>245</v>
      </c>
      <c r="AX16" s="2">
        <f t="shared" si="51"/>
        <v>40.227653575711322</v>
      </c>
      <c r="AY16" s="5">
        <f t="shared" si="38"/>
        <v>4746.8631219339359</v>
      </c>
      <c r="AZ16" s="6">
        <f t="shared" si="39"/>
        <v>118</v>
      </c>
      <c r="BA16" s="7">
        <f t="shared" si="40"/>
        <v>1652</v>
      </c>
      <c r="BB16" s="5">
        <f t="shared" si="41"/>
        <v>198.23999999999998</v>
      </c>
    </row>
    <row r="17" spans="1:54" x14ac:dyDescent="0.25">
      <c r="A17" s="10">
        <f t="shared" si="42"/>
        <v>106.46202544350771</v>
      </c>
      <c r="B17" s="11">
        <f t="shared" si="43"/>
        <v>425.84810177403085</v>
      </c>
      <c r="C17" s="12">
        <f t="shared" si="7"/>
        <v>4</v>
      </c>
      <c r="D17" s="13">
        <f t="shared" si="8"/>
        <v>89</v>
      </c>
      <c r="E17" s="11">
        <f t="shared" si="9"/>
        <v>62.3</v>
      </c>
      <c r="F17" s="11"/>
      <c r="G17" s="10">
        <f t="shared" si="44"/>
        <v>116.77838579332332</v>
      </c>
      <c r="H17" s="11">
        <f t="shared" si="45"/>
        <v>583.89192896661666</v>
      </c>
      <c r="I17" s="12">
        <f t="shared" si="10"/>
        <v>5</v>
      </c>
      <c r="J17" s="13">
        <f t="shared" si="11"/>
        <v>75</v>
      </c>
      <c r="K17" s="11">
        <f t="shared" si="12"/>
        <v>52.5</v>
      </c>
      <c r="L17" s="11"/>
      <c r="M17" s="2">
        <f t="shared" si="46"/>
        <v>11.596419386050135</v>
      </c>
      <c r="N17" s="5">
        <f t="shared" si="13"/>
        <v>173.94629079075202</v>
      </c>
      <c r="O17" s="6">
        <f t="shared" si="14"/>
        <v>15</v>
      </c>
      <c r="P17" s="7">
        <f t="shared" si="15"/>
        <v>260</v>
      </c>
      <c r="Q17" s="5">
        <f t="shared" si="16"/>
        <v>18.200000000000003</v>
      </c>
      <c r="S17" s="10">
        <f t="shared" si="47"/>
        <v>125.6948369921424</v>
      </c>
      <c r="T17" s="11">
        <f t="shared" si="17"/>
        <v>2262.5070658585632</v>
      </c>
      <c r="U17" s="12">
        <f t="shared" si="18"/>
        <v>18</v>
      </c>
      <c r="V17" s="13">
        <f t="shared" si="19"/>
        <v>270</v>
      </c>
      <c r="W17" s="11">
        <f t="shared" si="20"/>
        <v>199.8</v>
      </c>
      <c r="Y17" s="10">
        <f t="shared" si="48"/>
        <v>99.815902113761425</v>
      </c>
      <c r="Z17" s="11">
        <f t="shared" si="21"/>
        <v>1197.7908253651372</v>
      </c>
      <c r="AA17" s="12">
        <f t="shared" si="22"/>
        <v>12</v>
      </c>
      <c r="AB17" s="13">
        <f t="shared" si="23"/>
        <v>180</v>
      </c>
      <c r="AC17" s="11">
        <f t="shared" si="24"/>
        <v>125.99999999999999</v>
      </c>
      <c r="AE17" s="10">
        <f t="shared" si="49"/>
        <v>86.841069670181724</v>
      </c>
      <c r="AF17" s="11">
        <f t="shared" si="25"/>
        <v>1128.9339057123625</v>
      </c>
      <c r="AG17" s="12">
        <f t="shared" si="26"/>
        <v>13.000000000000002</v>
      </c>
      <c r="AH17" s="13">
        <f t="shared" si="27"/>
        <v>195</v>
      </c>
      <c r="AI17" s="11">
        <f t="shared" si="28"/>
        <v>142.35</v>
      </c>
      <c r="AJ17" s="11"/>
      <c r="AK17" s="10">
        <f t="shared" si="29"/>
        <v>90.693515424448421</v>
      </c>
      <c r="AL17" s="11">
        <f t="shared" si="30"/>
        <v>1179.0157005178294</v>
      </c>
      <c r="AM17" s="12">
        <f t="shared" si="31"/>
        <v>12.999999999999998</v>
      </c>
      <c r="AN17" s="13">
        <f t="shared" si="32"/>
        <v>195</v>
      </c>
      <c r="AO17" s="11">
        <f t="shared" si="33"/>
        <v>103.35000000000001</v>
      </c>
      <c r="AP17" s="11"/>
      <c r="AR17" s="2">
        <f t="shared" si="50"/>
        <v>103.86762800143198</v>
      </c>
      <c r="AS17" s="5">
        <f t="shared" si="34"/>
        <v>3635.3669800501193</v>
      </c>
      <c r="AT17" s="6">
        <f t="shared" si="35"/>
        <v>35</v>
      </c>
      <c r="AU17" s="7">
        <f t="shared" si="36"/>
        <v>525</v>
      </c>
      <c r="AV17" s="5">
        <f t="shared" si="37"/>
        <v>262.5</v>
      </c>
      <c r="AX17" s="2">
        <f t="shared" si="51"/>
        <v>40.629930111468433</v>
      </c>
      <c r="AY17" s="5">
        <f t="shared" si="38"/>
        <v>4794.3317531532748</v>
      </c>
      <c r="AZ17" s="6">
        <f t="shared" si="39"/>
        <v>118</v>
      </c>
      <c r="BA17" s="7">
        <f t="shared" si="40"/>
        <v>1770</v>
      </c>
      <c r="BB17" s="5">
        <f t="shared" si="41"/>
        <v>212.4</v>
      </c>
    </row>
    <row r="18" spans="1:54" x14ac:dyDescent="0.25">
      <c r="A18" s="10">
        <f t="shared" si="42"/>
        <v>107.5266456979428</v>
      </c>
      <c r="B18" s="11">
        <f t="shared" si="43"/>
        <v>430.10658279177119</v>
      </c>
      <c r="C18" s="12">
        <f t="shared" si="7"/>
        <v>4</v>
      </c>
      <c r="D18" s="13">
        <f t="shared" si="8"/>
        <v>93</v>
      </c>
      <c r="E18" s="11">
        <f t="shared" si="9"/>
        <v>65.099999999999994</v>
      </c>
      <c r="F18" s="11"/>
      <c r="G18" s="10">
        <f t="shared" si="44"/>
        <v>117.94616965125655</v>
      </c>
      <c r="H18" s="11">
        <f t="shared" si="45"/>
        <v>589.7308482562828</v>
      </c>
      <c r="I18" s="12">
        <f t="shared" si="10"/>
        <v>5</v>
      </c>
      <c r="J18" s="13">
        <f t="shared" si="11"/>
        <v>80</v>
      </c>
      <c r="K18" s="11">
        <f t="shared" si="12"/>
        <v>56</v>
      </c>
      <c r="L18" s="11"/>
      <c r="M18" s="2">
        <f t="shared" si="46"/>
        <v>11.712383579910636</v>
      </c>
      <c r="N18" s="5">
        <f t="shared" si="13"/>
        <v>175.68575369865954</v>
      </c>
      <c r="O18" s="6">
        <f t="shared" si="14"/>
        <v>15</v>
      </c>
      <c r="P18" s="7">
        <f t="shared" si="15"/>
        <v>275</v>
      </c>
      <c r="Q18" s="5">
        <f t="shared" si="16"/>
        <v>19.250000000000004</v>
      </c>
      <c r="S18" s="10">
        <f t="shared" si="47"/>
        <v>126.5747008510874</v>
      </c>
      <c r="T18" s="11">
        <f t="shared" si="17"/>
        <v>2278.3446153195732</v>
      </c>
      <c r="U18" s="12">
        <f t="shared" si="18"/>
        <v>18</v>
      </c>
      <c r="V18" s="13">
        <f t="shared" si="19"/>
        <v>288</v>
      </c>
      <c r="W18" s="11">
        <f t="shared" si="20"/>
        <v>213.12</v>
      </c>
      <c r="Y18" s="10">
        <f t="shared" si="48"/>
        <v>100.81406113489903</v>
      </c>
      <c r="Z18" s="11">
        <f t="shared" si="21"/>
        <v>1209.7687336187885</v>
      </c>
      <c r="AA18" s="12">
        <f t="shared" si="22"/>
        <v>12</v>
      </c>
      <c r="AB18" s="13">
        <f t="shared" si="23"/>
        <v>192</v>
      </c>
      <c r="AC18" s="11">
        <f t="shared" si="24"/>
        <v>134.39999999999998</v>
      </c>
      <c r="AE18" s="10">
        <f t="shared" si="49"/>
        <v>87.70948036688354</v>
      </c>
      <c r="AF18" s="11">
        <f t="shared" si="25"/>
        <v>1140.223244769486</v>
      </c>
      <c r="AG18" s="12">
        <f t="shared" si="26"/>
        <v>13</v>
      </c>
      <c r="AH18" s="13">
        <f t="shared" si="27"/>
        <v>208</v>
      </c>
      <c r="AI18" s="11">
        <f t="shared" si="28"/>
        <v>151.84</v>
      </c>
      <c r="AJ18" s="11"/>
      <c r="AK18" s="10">
        <f t="shared" si="29"/>
        <v>91.6004505786929</v>
      </c>
      <c r="AL18" s="11">
        <f t="shared" si="30"/>
        <v>1190.8058575230077</v>
      </c>
      <c r="AM18" s="12">
        <f t="shared" si="31"/>
        <v>13</v>
      </c>
      <c r="AN18" s="13">
        <f t="shared" si="32"/>
        <v>208</v>
      </c>
      <c r="AO18" s="11">
        <f t="shared" si="33"/>
        <v>110.24000000000001</v>
      </c>
      <c r="AP18" s="11"/>
      <c r="AR18" s="2">
        <f t="shared" si="50"/>
        <v>104.9063042814463</v>
      </c>
      <c r="AS18" s="5">
        <f t="shared" si="34"/>
        <v>3671.7206498506202</v>
      </c>
      <c r="AT18" s="6">
        <f t="shared" si="35"/>
        <v>35</v>
      </c>
      <c r="AU18" s="7">
        <f t="shared" si="36"/>
        <v>560</v>
      </c>
      <c r="AV18" s="5">
        <f t="shared" si="37"/>
        <v>280</v>
      </c>
      <c r="AX18" s="2">
        <f t="shared" si="51"/>
        <v>41.036229412583118</v>
      </c>
      <c r="AY18" s="5">
        <f t="shared" si="38"/>
        <v>4842.2750706848083</v>
      </c>
      <c r="AZ18" s="6">
        <f t="shared" si="39"/>
        <v>118.00000000000001</v>
      </c>
      <c r="BA18" s="7">
        <f t="shared" si="40"/>
        <v>1888</v>
      </c>
      <c r="BB18" s="5">
        <f t="shared" si="41"/>
        <v>226.56</v>
      </c>
    </row>
    <row r="19" spans="1:54" x14ac:dyDescent="0.25">
      <c r="A19" s="10">
        <f t="shared" si="42"/>
        <v>108.60191215492223</v>
      </c>
      <c r="B19" s="11">
        <f t="shared" si="43"/>
        <v>434.40764861968893</v>
      </c>
      <c r="C19" s="12">
        <f t="shared" si="7"/>
        <v>4</v>
      </c>
      <c r="D19" s="13">
        <f t="shared" si="8"/>
        <v>97</v>
      </c>
      <c r="E19" s="11">
        <f t="shared" si="9"/>
        <v>67.899999999999991</v>
      </c>
      <c r="F19" s="11"/>
      <c r="G19" s="10">
        <f t="shared" si="44"/>
        <v>119.12563134776912</v>
      </c>
      <c r="H19" s="11">
        <f t="shared" si="45"/>
        <v>595.62815673884552</v>
      </c>
      <c r="I19" s="12">
        <f t="shared" si="10"/>
        <v>4.9999999999999991</v>
      </c>
      <c r="J19" s="13">
        <f t="shared" si="11"/>
        <v>85</v>
      </c>
      <c r="K19" s="11">
        <f t="shared" si="12"/>
        <v>59.499999999999993</v>
      </c>
      <c r="L19" s="11"/>
      <c r="M19" s="2">
        <f t="shared" si="46"/>
        <v>11.829507415709742</v>
      </c>
      <c r="N19" s="5">
        <f t="shared" si="13"/>
        <v>177.44261123564613</v>
      </c>
      <c r="O19" s="6">
        <f t="shared" si="14"/>
        <v>15</v>
      </c>
      <c r="P19" s="7">
        <f t="shared" si="15"/>
        <v>290</v>
      </c>
      <c r="Q19" s="5">
        <f t="shared" si="16"/>
        <v>20.3</v>
      </c>
      <c r="S19" s="10">
        <f t="shared" si="47"/>
        <v>127.46072375704502</v>
      </c>
      <c r="T19" s="11">
        <f t="shared" si="17"/>
        <v>2294.2930276268103</v>
      </c>
      <c r="U19" s="12">
        <f t="shared" si="18"/>
        <v>18</v>
      </c>
      <c r="V19" s="13">
        <f t="shared" si="19"/>
        <v>306</v>
      </c>
      <c r="W19" s="11">
        <f t="shared" si="20"/>
        <v>226.44</v>
      </c>
      <c r="Y19" s="10">
        <f t="shared" si="48"/>
        <v>101.82220174624803</v>
      </c>
      <c r="Z19" s="11">
        <f t="shared" si="21"/>
        <v>1221.8664209549763</v>
      </c>
      <c r="AA19" s="12">
        <f t="shared" si="22"/>
        <v>12</v>
      </c>
      <c r="AB19" s="13">
        <f t="shared" si="23"/>
        <v>204</v>
      </c>
      <c r="AC19" s="11">
        <f t="shared" si="24"/>
        <v>142.79999999999998</v>
      </c>
      <c r="AE19" s="10">
        <f t="shared" si="49"/>
        <v>88.586575170552379</v>
      </c>
      <c r="AF19" s="11">
        <f t="shared" si="25"/>
        <v>1151.625477217181</v>
      </c>
      <c r="AG19" s="12">
        <f t="shared" si="26"/>
        <v>13.000000000000002</v>
      </c>
      <c r="AH19" s="13">
        <f t="shared" si="27"/>
        <v>221</v>
      </c>
      <c r="AI19" s="11">
        <f t="shared" si="28"/>
        <v>161.32999999999998</v>
      </c>
      <c r="AJ19" s="11"/>
      <c r="AK19" s="10">
        <f t="shared" si="29"/>
        <v>92.51645508447983</v>
      </c>
      <c r="AL19" s="11">
        <f t="shared" si="30"/>
        <v>1202.7139160982379</v>
      </c>
      <c r="AM19" s="12">
        <f t="shared" si="31"/>
        <v>13</v>
      </c>
      <c r="AN19" s="13">
        <f t="shared" si="32"/>
        <v>221</v>
      </c>
      <c r="AO19" s="11">
        <f t="shared" si="33"/>
        <v>117.13000000000001</v>
      </c>
      <c r="AP19" s="11"/>
      <c r="AR19" s="2">
        <f t="shared" si="50"/>
        <v>105.95536732426076</v>
      </c>
      <c r="AS19" s="5">
        <f t="shared" si="34"/>
        <v>3708.4378563491268</v>
      </c>
      <c r="AT19" s="6">
        <f t="shared" si="35"/>
        <v>35</v>
      </c>
      <c r="AU19" s="7">
        <f t="shared" si="36"/>
        <v>595</v>
      </c>
      <c r="AV19" s="5">
        <f t="shared" si="37"/>
        <v>297.5</v>
      </c>
      <c r="AX19" s="2">
        <f t="shared" si="51"/>
        <v>41.446591706708951</v>
      </c>
      <c r="AY19" s="5">
        <f t="shared" si="38"/>
        <v>4890.6978213916564</v>
      </c>
      <c r="AZ19" s="6">
        <f t="shared" si="39"/>
        <v>118</v>
      </c>
      <c r="BA19" s="7">
        <f t="shared" si="40"/>
        <v>2006</v>
      </c>
      <c r="BB19" s="5">
        <f t="shared" si="41"/>
        <v>240.72</v>
      </c>
    </row>
    <row r="20" spans="1:54" x14ac:dyDescent="0.25">
      <c r="A20" s="10">
        <f t="shared" si="42"/>
        <v>109.68793127647146</v>
      </c>
      <c r="B20" s="11">
        <f t="shared" si="43"/>
        <v>438.75172510588584</v>
      </c>
      <c r="C20" s="12">
        <f t="shared" si="7"/>
        <v>4</v>
      </c>
      <c r="D20" s="13">
        <f t="shared" si="8"/>
        <v>101</v>
      </c>
      <c r="E20" s="11">
        <f t="shared" si="9"/>
        <v>70.699999999999989</v>
      </c>
      <c r="F20" s="11"/>
      <c r="G20" s="10">
        <f t="shared" si="44"/>
        <v>120.31688766124681</v>
      </c>
      <c r="H20" s="11">
        <f t="shared" si="45"/>
        <v>601.58443830623401</v>
      </c>
      <c r="I20" s="12">
        <f t="shared" si="10"/>
        <v>5</v>
      </c>
      <c r="J20" s="13">
        <f t="shared" si="11"/>
        <v>90</v>
      </c>
      <c r="K20" s="11">
        <f t="shared" si="12"/>
        <v>62.999999999999993</v>
      </c>
      <c r="L20" s="11"/>
      <c r="M20" s="2">
        <f t="shared" si="46"/>
        <v>11.94780248986684</v>
      </c>
      <c r="N20" s="5">
        <f t="shared" si="13"/>
        <v>179.21703734800261</v>
      </c>
      <c r="O20" s="6">
        <f t="shared" si="14"/>
        <v>15</v>
      </c>
      <c r="P20" s="7">
        <f t="shared" si="15"/>
        <v>305</v>
      </c>
      <c r="Q20" s="5">
        <f t="shared" si="16"/>
        <v>21.35</v>
      </c>
      <c r="S20" s="10">
        <f t="shared" si="47"/>
        <v>128.35294882334432</v>
      </c>
      <c r="T20" s="11">
        <f t="shared" si="17"/>
        <v>2310.3530788201979</v>
      </c>
      <c r="U20" s="12">
        <f t="shared" si="18"/>
        <v>18</v>
      </c>
      <c r="V20" s="13">
        <f t="shared" si="19"/>
        <v>324</v>
      </c>
      <c r="W20" s="11">
        <f t="shared" si="20"/>
        <v>239.76</v>
      </c>
      <c r="Y20" s="10">
        <f t="shared" si="48"/>
        <v>102.8404237637105</v>
      </c>
      <c r="Z20" s="11">
        <f t="shared" si="21"/>
        <v>1234.0850851645259</v>
      </c>
      <c r="AA20" s="12">
        <f t="shared" si="22"/>
        <v>11.999999999999998</v>
      </c>
      <c r="AB20" s="13">
        <f t="shared" si="23"/>
        <v>216</v>
      </c>
      <c r="AC20" s="11">
        <f t="shared" si="24"/>
        <v>151.19999999999999</v>
      </c>
      <c r="AE20" s="10">
        <f t="shared" si="49"/>
        <v>89.472440922257903</v>
      </c>
      <c r="AF20" s="11">
        <f t="shared" si="25"/>
        <v>1163.1417319893528</v>
      </c>
      <c r="AG20" s="12">
        <f t="shared" si="26"/>
        <v>13.000000000000002</v>
      </c>
      <c r="AH20" s="13">
        <f t="shared" si="27"/>
        <v>234</v>
      </c>
      <c r="AI20" s="11">
        <f t="shared" si="28"/>
        <v>170.82</v>
      </c>
      <c r="AJ20" s="11"/>
      <c r="AK20" s="10">
        <f t="shared" si="29"/>
        <v>93.441619635324628</v>
      </c>
      <c r="AL20" s="11">
        <f t="shared" si="30"/>
        <v>1214.74105525922</v>
      </c>
      <c r="AM20" s="12">
        <f t="shared" si="31"/>
        <v>12.999999999999998</v>
      </c>
      <c r="AN20" s="13">
        <f t="shared" si="32"/>
        <v>234</v>
      </c>
      <c r="AO20" s="11">
        <f t="shared" si="33"/>
        <v>124.02000000000001</v>
      </c>
      <c r="AP20" s="11"/>
      <c r="AR20" s="2">
        <f t="shared" si="50"/>
        <v>107.01492099750337</v>
      </c>
      <c r="AS20" s="5">
        <f t="shared" si="34"/>
        <v>3745.5222349126179</v>
      </c>
      <c r="AT20" s="6">
        <f t="shared" si="35"/>
        <v>35</v>
      </c>
      <c r="AU20" s="7">
        <f t="shared" si="36"/>
        <v>630</v>
      </c>
      <c r="AV20" s="5">
        <f t="shared" si="37"/>
        <v>315</v>
      </c>
      <c r="AX20" s="2">
        <f t="shared" si="51"/>
        <v>41.861057623776041</v>
      </c>
      <c r="AY20" s="5">
        <f t="shared" si="38"/>
        <v>4939.6047996055731</v>
      </c>
      <c r="AZ20" s="6">
        <f t="shared" si="39"/>
        <v>118</v>
      </c>
      <c r="BA20" s="7">
        <f t="shared" si="40"/>
        <v>2124</v>
      </c>
      <c r="BB20" s="5">
        <f t="shared" si="41"/>
        <v>254.88</v>
      </c>
    </row>
    <row r="21" spans="1:54" x14ac:dyDescent="0.25">
      <c r="A21" s="10">
        <f t="shared" si="42"/>
        <v>110.78481058923617</v>
      </c>
      <c r="B21" s="11">
        <f t="shared" si="43"/>
        <v>443.13924235694469</v>
      </c>
      <c r="C21" s="12">
        <f t="shared" si="7"/>
        <v>4</v>
      </c>
      <c r="D21" s="13">
        <f t="shared" si="8"/>
        <v>105</v>
      </c>
      <c r="E21" s="11">
        <f t="shared" si="9"/>
        <v>73.5</v>
      </c>
      <c r="F21" s="11"/>
      <c r="G21" s="10">
        <f t="shared" si="44"/>
        <v>121.52005653785928</v>
      </c>
      <c r="H21" s="11">
        <f t="shared" si="45"/>
        <v>607.60028268929636</v>
      </c>
      <c r="I21" s="12">
        <f t="shared" si="10"/>
        <v>5</v>
      </c>
      <c r="J21" s="13">
        <f t="shared" si="11"/>
        <v>95</v>
      </c>
      <c r="K21" s="11">
        <f t="shared" si="12"/>
        <v>66.5</v>
      </c>
      <c r="L21" s="11"/>
      <c r="M21" s="2">
        <f t="shared" si="46"/>
        <v>12.067280514765509</v>
      </c>
      <c r="N21" s="5">
        <f t="shared" si="13"/>
        <v>181.00920772148262</v>
      </c>
      <c r="O21" s="6">
        <f t="shared" si="14"/>
        <v>15</v>
      </c>
      <c r="P21" s="7">
        <f t="shared" si="15"/>
        <v>320</v>
      </c>
      <c r="Q21" s="5">
        <f t="shared" si="16"/>
        <v>22.400000000000002</v>
      </c>
      <c r="S21" s="10">
        <f t="shared" si="47"/>
        <v>129.25141946510774</v>
      </c>
      <c r="T21" s="11">
        <f t="shared" si="17"/>
        <v>2326.5255503719395</v>
      </c>
      <c r="U21" s="12">
        <f t="shared" si="18"/>
        <v>18</v>
      </c>
      <c r="V21" s="13">
        <f t="shared" si="19"/>
        <v>342</v>
      </c>
      <c r="W21" s="11">
        <f t="shared" si="20"/>
        <v>253.07999999999998</v>
      </c>
      <c r="Y21" s="10">
        <f t="shared" si="48"/>
        <v>103.86882800134761</v>
      </c>
      <c r="Z21" s="11">
        <f t="shared" si="21"/>
        <v>1246.4259360161714</v>
      </c>
      <c r="AA21" s="12">
        <f t="shared" si="22"/>
        <v>12</v>
      </c>
      <c r="AB21" s="13">
        <f t="shared" si="23"/>
        <v>228</v>
      </c>
      <c r="AC21" s="11">
        <f t="shared" si="24"/>
        <v>159.6</v>
      </c>
      <c r="AE21" s="10">
        <f t="shared" si="49"/>
        <v>90.367165331480479</v>
      </c>
      <c r="AF21" s="11">
        <f t="shared" si="25"/>
        <v>1174.7731493092463</v>
      </c>
      <c r="AG21" s="12">
        <f t="shared" si="26"/>
        <v>13</v>
      </c>
      <c r="AH21" s="13">
        <f t="shared" si="27"/>
        <v>247</v>
      </c>
      <c r="AI21" s="11">
        <f t="shared" si="28"/>
        <v>180.31</v>
      </c>
      <c r="AJ21" s="11"/>
      <c r="AK21" s="10">
        <f t="shared" si="29"/>
        <v>94.376035831677868</v>
      </c>
      <c r="AL21" s="11">
        <f t="shared" si="30"/>
        <v>1226.8884658118122</v>
      </c>
      <c r="AM21" s="12">
        <f t="shared" si="31"/>
        <v>13</v>
      </c>
      <c r="AN21" s="13">
        <f t="shared" si="32"/>
        <v>247</v>
      </c>
      <c r="AO21" s="11">
        <f t="shared" si="33"/>
        <v>130.91</v>
      </c>
      <c r="AP21" s="11"/>
      <c r="AR21" s="2">
        <f t="shared" si="50"/>
        <v>108.0850702074784</v>
      </c>
      <c r="AS21" s="5">
        <f t="shared" si="34"/>
        <v>3782.9774572617439</v>
      </c>
      <c r="AT21" s="6">
        <f t="shared" si="35"/>
        <v>35</v>
      </c>
      <c r="AU21" s="7">
        <f t="shared" si="36"/>
        <v>665</v>
      </c>
      <c r="AV21" s="5">
        <f t="shared" si="37"/>
        <v>332.5</v>
      </c>
      <c r="AX21" s="2">
        <f t="shared" si="51"/>
        <v>42.279668200013802</v>
      </c>
      <c r="AY21" s="5">
        <f t="shared" si="38"/>
        <v>4989.0008476016283</v>
      </c>
      <c r="AZ21" s="6">
        <f t="shared" si="39"/>
        <v>117.99999999999999</v>
      </c>
      <c r="BA21" s="7">
        <f t="shared" si="40"/>
        <v>2242</v>
      </c>
      <c r="BB21" s="5">
        <f t="shared" si="41"/>
        <v>269.03999999999996</v>
      </c>
    </row>
    <row r="22" spans="1:54" x14ac:dyDescent="0.25">
      <c r="A22" s="10">
        <f t="shared" si="42"/>
        <v>111.89265869512853</v>
      </c>
      <c r="B22" s="11">
        <f t="shared" si="43"/>
        <v>447.57063478051413</v>
      </c>
      <c r="C22" s="12">
        <f t="shared" si="7"/>
        <v>4</v>
      </c>
      <c r="D22" s="13">
        <f t="shared" si="8"/>
        <v>109</v>
      </c>
      <c r="E22" s="11">
        <f t="shared" si="9"/>
        <v>76.3</v>
      </c>
      <c r="F22" s="11"/>
      <c r="G22" s="10">
        <f t="shared" si="44"/>
        <v>122.73525710323787</v>
      </c>
      <c r="H22" s="11">
        <f t="shared" si="45"/>
        <v>613.67628551618941</v>
      </c>
      <c r="I22" s="12">
        <f t="shared" si="10"/>
        <v>5.0000000000000009</v>
      </c>
      <c r="J22" s="13">
        <f t="shared" si="11"/>
        <v>100</v>
      </c>
      <c r="K22" s="11">
        <f t="shared" si="12"/>
        <v>70</v>
      </c>
      <c r="L22" s="11"/>
      <c r="M22" s="2">
        <f t="shared" si="46"/>
        <v>12.187953319913163</v>
      </c>
      <c r="N22" s="5">
        <f t="shared" si="13"/>
        <v>182.81929979869744</v>
      </c>
      <c r="O22" s="6">
        <f t="shared" si="14"/>
        <v>15</v>
      </c>
      <c r="P22" s="7">
        <f t="shared" si="15"/>
        <v>335</v>
      </c>
      <c r="Q22" s="5">
        <f t="shared" si="16"/>
        <v>23.450000000000003</v>
      </c>
      <c r="S22" s="10">
        <f t="shared" si="47"/>
        <v>130.15617940136349</v>
      </c>
      <c r="T22" s="11">
        <f t="shared" si="17"/>
        <v>2342.8112292245428</v>
      </c>
      <c r="U22" s="12">
        <f t="shared" si="18"/>
        <v>18</v>
      </c>
      <c r="V22" s="13">
        <f t="shared" si="19"/>
        <v>360</v>
      </c>
      <c r="W22" s="11">
        <f t="shared" si="20"/>
        <v>266.39999999999998</v>
      </c>
      <c r="Y22" s="10">
        <f t="shared" si="48"/>
        <v>104.90751628136108</v>
      </c>
      <c r="Z22" s="11">
        <f t="shared" si="21"/>
        <v>1258.8901953763329</v>
      </c>
      <c r="AA22" s="12">
        <f t="shared" si="22"/>
        <v>12</v>
      </c>
      <c r="AB22" s="13">
        <f t="shared" si="23"/>
        <v>240</v>
      </c>
      <c r="AC22" s="11">
        <f t="shared" si="24"/>
        <v>168</v>
      </c>
      <c r="AE22" s="10">
        <f t="shared" si="49"/>
        <v>91.270836984795281</v>
      </c>
      <c r="AF22" s="11">
        <f t="shared" si="25"/>
        <v>1186.5208808023388</v>
      </c>
      <c r="AG22" s="12">
        <f t="shared" si="26"/>
        <v>13.000000000000002</v>
      </c>
      <c r="AH22" s="13">
        <f t="shared" si="27"/>
        <v>260</v>
      </c>
      <c r="AI22" s="11">
        <f t="shared" si="28"/>
        <v>189.79999999999998</v>
      </c>
      <c r="AJ22" s="11"/>
      <c r="AK22" s="10">
        <f t="shared" si="29"/>
        <v>95.319796189994648</v>
      </c>
      <c r="AL22" s="11">
        <f t="shared" si="30"/>
        <v>1239.1573504699304</v>
      </c>
      <c r="AM22" s="12">
        <f t="shared" si="31"/>
        <v>13</v>
      </c>
      <c r="AN22" s="13">
        <f t="shared" si="32"/>
        <v>260</v>
      </c>
      <c r="AO22" s="11">
        <f t="shared" si="33"/>
        <v>137.80000000000001</v>
      </c>
      <c r="AP22" s="11"/>
      <c r="AR22" s="2">
        <f t="shared" si="50"/>
        <v>109.16592090955318</v>
      </c>
      <c r="AS22" s="5">
        <f t="shared" si="34"/>
        <v>3820.8072318343611</v>
      </c>
      <c r="AT22" s="6">
        <f t="shared" si="35"/>
        <v>35</v>
      </c>
      <c r="AU22" s="7">
        <f t="shared" si="36"/>
        <v>700</v>
      </c>
      <c r="AV22" s="5">
        <f t="shared" si="37"/>
        <v>350</v>
      </c>
      <c r="AX22" s="2">
        <f t="shared" si="51"/>
        <v>42.702464882013942</v>
      </c>
      <c r="AY22" s="5">
        <f t="shared" si="38"/>
        <v>5038.8908560776454</v>
      </c>
      <c r="AZ22" s="6">
        <f t="shared" si="39"/>
        <v>118</v>
      </c>
      <c r="BA22" s="7">
        <f t="shared" si="40"/>
        <v>2360</v>
      </c>
      <c r="BB22" s="5">
        <f t="shared" si="41"/>
        <v>283.2</v>
      </c>
    </row>
    <row r="23" spans="1:54" x14ac:dyDescent="0.25">
      <c r="A23" s="10">
        <f t="shared" si="42"/>
        <v>113.01158528207982</v>
      </c>
      <c r="B23" s="11">
        <f t="shared" si="43"/>
        <v>452.04634112831928</v>
      </c>
      <c r="C23" s="12">
        <f t="shared" si="7"/>
        <v>4</v>
      </c>
      <c r="D23" s="13">
        <f t="shared" si="8"/>
        <v>113</v>
      </c>
      <c r="E23" s="11">
        <f t="shared" si="9"/>
        <v>79.099999999999994</v>
      </c>
      <c r="F23" s="11"/>
      <c r="G23" s="10">
        <f t="shared" si="44"/>
        <v>123.96260967427025</v>
      </c>
      <c r="H23" s="11">
        <f t="shared" si="45"/>
        <v>619.81304837135121</v>
      </c>
      <c r="I23" s="12">
        <f t="shared" si="10"/>
        <v>4.9999999999999991</v>
      </c>
      <c r="J23" s="13">
        <f t="shared" si="11"/>
        <v>105</v>
      </c>
      <c r="K23" s="11">
        <f t="shared" si="12"/>
        <v>73.5</v>
      </c>
      <c r="L23" s="11"/>
      <c r="M23" s="2">
        <f t="shared" si="46"/>
        <v>12.309832853112294</v>
      </c>
      <c r="N23" s="5">
        <f t="shared" si="13"/>
        <v>184.64749279668442</v>
      </c>
      <c r="O23" s="6">
        <f t="shared" si="14"/>
        <v>15</v>
      </c>
      <c r="P23" s="7">
        <f t="shared" si="15"/>
        <v>350</v>
      </c>
      <c r="Q23" s="5">
        <f t="shared" si="16"/>
        <v>24.500000000000004</v>
      </c>
      <c r="S23" s="10">
        <f t="shared" si="47"/>
        <v>131.06727265717302</v>
      </c>
      <c r="T23" s="11">
        <f t="shared" si="17"/>
        <v>2359.2109078291141</v>
      </c>
      <c r="U23" s="12">
        <f t="shared" si="18"/>
        <v>18</v>
      </c>
      <c r="V23" s="13">
        <f t="shared" si="19"/>
        <v>378</v>
      </c>
      <c r="W23" s="11">
        <f t="shared" si="20"/>
        <v>279.71999999999997</v>
      </c>
      <c r="Y23" s="10">
        <f t="shared" si="48"/>
        <v>105.95659144417469</v>
      </c>
      <c r="Z23" s="11">
        <f t="shared" si="21"/>
        <v>1271.4790973300962</v>
      </c>
      <c r="AA23" s="12">
        <f t="shared" si="22"/>
        <v>12</v>
      </c>
      <c r="AB23" s="13">
        <f t="shared" si="23"/>
        <v>252</v>
      </c>
      <c r="AC23" s="11">
        <f t="shared" si="24"/>
        <v>176.39999999999998</v>
      </c>
      <c r="AE23" s="10">
        <f t="shared" si="49"/>
        <v>92.183545354643229</v>
      </c>
      <c r="AF23" s="11">
        <f t="shared" si="25"/>
        <v>1198.386089610362</v>
      </c>
      <c r="AG23" s="12">
        <f t="shared" si="26"/>
        <v>13</v>
      </c>
      <c r="AH23" s="13">
        <f t="shared" si="27"/>
        <v>273</v>
      </c>
      <c r="AI23" s="11">
        <f t="shared" si="28"/>
        <v>199.29</v>
      </c>
      <c r="AJ23" s="11"/>
      <c r="AK23" s="10">
        <f t="shared" si="29"/>
        <v>96.272994151894594</v>
      </c>
      <c r="AL23" s="11">
        <f t="shared" si="30"/>
        <v>1251.5489239746298</v>
      </c>
      <c r="AM23" s="12">
        <f t="shared" si="31"/>
        <v>13.000000000000002</v>
      </c>
      <c r="AN23" s="13">
        <f t="shared" si="32"/>
        <v>273</v>
      </c>
      <c r="AO23" s="11">
        <f t="shared" si="33"/>
        <v>144.69</v>
      </c>
      <c r="AP23" s="11"/>
      <c r="AR23" s="2">
        <f t="shared" si="50"/>
        <v>110.2575801186487</v>
      </c>
      <c r="AS23" s="5">
        <f t="shared" si="34"/>
        <v>3859.0153041527046</v>
      </c>
      <c r="AT23" s="6">
        <f t="shared" si="35"/>
        <v>35</v>
      </c>
      <c r="AU23" s="7">
        <f t="shared" si="36"/>
        <v>735</v>
      </c>
      <c r="AV23" s="5">
        <f t="shared" si="37"/>
        <v>367.5</v>
      </c>
      <c r="AX23" s="2">
        <f t="shared" si="51"/>
        <v>43.129489530834078</v>
      </c>
      <c r="AY23" s="5">
        <f t="shared" si="38"/>
        <v>5089.2797646384215</v>
      </c>
      <c r="AZ23" s="6">
        <f t="shared" si="39"/>
        <v>118</v>
      </c>
      <c r="BA23" s="7">
        <f t="shared" si="40"/>
        <v>2478</v>
      </c>
      <c r="BB23" s="5">
        <f t="shared" si="41"/>
        <v>297.36</v>
      </c>
    </row>
    <row r="24" spans="1:54" x14ac:dyDescent="0.25">
      <c r="A24" s="10">
        <f t="shared" si="42"/>
        <v>114.14170113490061</v>
      </c>
      <c r="B24" s="11">
        <f t="shared" si="43"/>
        <v>456.56680453960246</v>
      </c>
      <c r="C24" s="12">
        <f t="shared" si="7"/>
        <v>4</v>
      </c>
      <c r="D24" s="13">
        <f t="shared" si="8"/>
        <v>117</v>
      </c>
      <c r="E24" s="11">
        <f t="shared" si="9"/>
        <v>81.899999999999991</v>
      </c>
      <c r="F24" s="11"/>
      <c r="G24" s="10">
        <f t="shared" si="44"/>
        <v>125.20223577101295</v>
      </c>
      <c r="H24" s="11">
        <f t="shared" si="45"/>
        <v>626.01117885506471</v>
      </c>
      <c r="I24" s="12">
        <f t="shared" si="10"/>
        <v>5</v>
      </c>
      <c r="J24" s="13">
        <f t="shared" si="11"/>
        <v>110</v>
      </c>
      <c r="K24" s="11">
        <f t="shared" si="12"/>
        <v>77</v>
      </c>
      <c r="L24" s="11"/>
      <c r="M24" s="2">
        <f t="shared" si="46"/>
        <v>12.432931181643417</v>
      </c>
      <c r="N24" s="5">
        <f t="shared" si="13"/>
        <v>186.49396772465124</v>
      </c>
      <c r="O24" s="6">
        <f t="shared" si="14"/>
        <v>15</v>
      </c>
      <c r="P24" s="7">
        <f t="shared" si="15"/>
        <v>365</v>
      </c>
      <c r="Q24" s="5">
        <f t="shared" si="16"/>
        <v>25.55</v>
      </c>
      <c r="S24" s="10">
        <f t="shared" si="47"/>
        <v>131.98474356577324</v>
      </c>
      <c r="T24" s="11">
        <f t="shared" si="17"/>
        <v>2375.7253841839183</v>
      </c>
      <c r="U24" s="12">
        <f t="shared" si="18"/>
        <v>18</v>
      </c>
      <c r="V24" s="13">
        <f t="shared" si="19"/>
        <v>396</v>
      </c>
      <c r="W24" s="11">
        <f t="shared" si="20"/>
        <v>293.04000000000002</v>
      </c>
      <c r="Y24" s="10">
        <f t="shared" si="48"/>
        <v>107.01615735861644</v>
      </c>
      <c r="Z24" s="11">
        <f t="shared" si="21"/>
        <v>1284.1938883033972</v>
      </c>
      <c r="AA24" s="12">
        <f t="shared" si="22"/>
        <v>12</v>
      </c>
      <c r="AB24" s="13">
        <f t="shared" si="23"/>
        <v>264</v>
      </c>
      <c r="AC24" s="11">
        <f t="shared" si="24"/>
        <v>184.79999999999998</v>
      </c>
      <c r="AE24" s="10">
        <f t="shared" si="49"/>
        <v>93.105380808189665</v>
      </c>
      <c r="AF24" s="11">
        <f t="shared" si="25"/>
        <v>1210.3699505064656</v>
      </c>
      <c r="AG24" s="12">
        <f t="shared" si="26"/>
        <v>12.999999999999998</v>
      </c>
      <c r="AH24" s="13">
        <f t="shared" si="27"/>
        <v>286</v>
      </c>
      <c r="AI24" s="11">
        <f t="shared" si="28"/>
        <v>208.78</v>
      </c>
      <c r="AJ24" s="11"/>
      <c r="AK24" s="10">
        <f t="shared" si="29"/>
        <v>97.235724093413538</v>
      </c>
      <c r="AL24" s="11">
        <f t="shared" si="30"/>
        <v>1264.0644132143759</v>
      </c>
      <c r="AM24" s="12">
        <f t="shared" si="31"/>
        <v>13</v>
      </c>
      <c r="AN24" s="13">
        <f t="shared" si="32"/>
        <v>286</v>
      </c>
      <c r="AO24" s="11">
        <f t="shared" si="33"/>
        <v>151.58000000000001</v>
      </c>
      <c r="AP24" s="11"/>
      <c r="AR24" s="2">
        <f t="shared" si="50"/>
        <v>111.36015591983519</v>
      </c>
      <c r="AS24" s="5">
        <f t="shared" si="34"/>
        <v>3897.6054571942318</v>
      </c>
      <c r="AT24" s="6">
        <f t="shared" si="35"/>
        <v>35</v>
      </c>
      <c r="AU24" s="7">
        <f t="shared" si="36"/>
        <v>770</v>
      </c>
      <c r="AV24" s="5">
        <f t="shared" si="37"/>
        <v>385</v>
      </c>
      <c r="AX24" s="2">
        <f t="shared" si="51"/>
        <v>43.560784426142419</v>
      </c>
      <c r="AY24" s="5">
        <f t="shared" si="38"/>
        <v>5140.1725622848053</v>
      </c>
      <c r="AZ24" s="6">
        <f t="shared" si="39"/>
        <v>118</v>
      </c>
      <c r="BA24" s="7">
        <f t="shared" si="40"/>
        <v>2596</v>
      </c>
      <c r="BB24" s="5">
        <f t="shared" si="41"/>
        <v>311.52</v>
      </c>
    </row>
    <row r="25" spans="1:54" x14ac:dyDescent="0.25">
      <c r="A25" s="10">
        <f t="shared" si="42"/>
        <v>115.28311814624962</v>
      </c>
      <c r="B25" s="11">
        <f t="shared" si="43"/>
        <v>461.13247258499848</v>
      </c>
      <c r="C25" s="12">
        <f t="shared" si="7"/>
        <v>4</v>
      </c>
      <c r="D25" s="13">
        <f t="shared" si="8"/>
        <v>121</v>
      </c>
      <c r="E25" s="11">
        <f t="shared" si="9"/>
        <v>84.699999999999989</v>
      </c>
      <c r="F25" s="11"/>
      <c r="G25" s="10">
        <f t="shared" si="44"/>
        <v>126.45425812872308</v>
      </c>
      <c r="H25" s="11">
        <f t="shared" si="45"/>
        <v>632.27129064361543</v>
      </c>
      <c r="I25" s="12">
        <f t="shared" si="10"/>
        <v>5</v>
      </c>
      <c r="J25" s="13">
        <f t="shared" si="11"/>
        <v>115</v>
      </c>
      <c r="K25" s="11">
        <f t="shared" si="12"/>
        <v>80.5</v>
      </c>
      <c r="L25" s="11"/>
      <c r="M25" s="2">
        <f t="shared" si="46"/>
        <v>12.55726049345985</v>
      </c>
      <c r="N25" s="5">
        <f t="shared" si="13"/>
        <v>188.35890740189774</v>
      </c>
      <c r="O25" s="6">
        <f t="shared" si="14"/>
        <v>14.999999999999998</v>
      </c>
      <c r="P25" s="7">
        <f t="shared" si="15"/>
        <v>380</v>
      </c>
      <c r="Q25" s="5">
        <f t="shared" si="16"/>
        <v>26.6</v>
      </c>
      <c r="S25" s="10">
        <f t="shared" si="47"/>
        <v>132.90863677073366</v>
      </c>
      <c r="T25" s="11">
        <f t="shared" si="17"/>
        <v>2392.355461873206</v>
      </c>
      <c r="U25" s="12">
        <f t="shared" si="18"/>
        <v>18</v>
      </c>
      <c r="V25" s="13">
        <f t="shared" si="19"/>
        <v>414</v>
      </c>
      <c r="W25" s="11">
        <f t="shared" si="20"/>
        <v>306.36</v>
      </c>
      <c r="Y25" s="10">
        <f t="shared" si="48"/>
        <v>108.0863189322026</v>
      </c>
      <c r="Z25" s="11">
        <f t="shared" si="21"/>
        <v>1297.0358271864311</v>
      </c>
      <c r="AA25" s="12">
        <f t="shared" si="22"/>
        <v>11.999999999999998</v>
      </c>
      <c r="AB25" s="13">
        <f t="shared" si="23"/>
        <v>276</v>
      </c>
      <c r="AC25" s="11">
        <f t="shared" si="24"/>
        <v>193.2</v>
      </c>
      <c r="AE25" s="10">
        <f t="shared" si="49"/>
        <v>94.036434616271563</v>
      </c>
      <c r="AF25" s="11">
        <f t="shared" si="25"/>
        <v>1222.4736500115303</v>
      </c>
      <c r="AG25" s="12">
        <f t="shared" si="26"/>
        <v>13</v>
      </c>
      <c r="AH25" s="13">
        <f t="shared" si="27"/>
        <v>299</v>
      </c>
      <c r="AI25" s="11">
        <f t="shared" si="28"/>
        <v>218.26999999999998</v>
      </c>
      <c r="AJ25" s="11"/>
      <c r="AK25" s="10">
        <f t="shared" si="29"/>
        <v>98.208081334347668</v>
      </c>
      <c r="AL25" s="11">
        <f t="shared" si="30"/>
        <v>1276.7050573465197</v>
      </c>
      <c r="AM25" s="12">
        <f t="shared" si="31"/>
        <v>13</v>
      </c>
      <c r="AN25" s="13">
        <f t="shared" si="32"/>
        <v>299</v>
      </c>
      <c r="AO25" s="11">
        <f t="shared" si="33"/>
        <v>158.47</v>
      </c>
      <c r="AP25" s="11"/>
      <c r="AR25" s="2">
        <f t="shared" si="50"/>
        <v>112.47375747903355</v>
      </c>
      <c r="AS25" s="5">
        <f t="shared" si="34"/>
        <v>3936.5815117661741</v>
      </c>
      <c r="AT25" s="6">
        <f t="shared" si="35"/>
        <v>35</v>
      </c>
      <c r="AU25" s="7">
        <f t="shared" si="36"/>
        <v>805</v>
      </c>
      <c r="AV25" s="5">
        <f t="shared" si="37"/>
        <v>402.5</v>
      </c>
      <c r="AX25" s="2">
        <f t="shared" si="51"/>
        <v>43.996392270403845</v>
      </c>
      <c r="AY25" s="5">
        <f t="shared" si="38"/>
        <v>5191.5742879076533</v>
      </c>
      <c r="AZ25" s="6">
        <f t="shared" si="39"/>
        <v>117.99999999999999</v>
      </c>
      <c r="BA25" s="7">
        <f t="shared" si="40"/>
        <v>2714</v>
      </c>
      <c r="BB25" s="5">
        <f t="shared" si="41"/>
        <v>325.68</v>
      </c>
    </row>
    <row r="26" spans="1:54" x14ac:dyDescent="0.25">
      <c r="A26" s="10">
        <f t="shared" si="42"/>
        <v>116.43594932771212</v>
      </c>
      <c r="B26" s="11">
        <f t="shared" si="43"/>
        <v>465.74379731084849</v>
      </c>
      <c r="C26" s="12">
        <f t="shared" si="7"/>
        <v>4</v>
      </c>
      <c r="D26" s="13">
        <f t="shared" si="8"/>
        <v>125</v>
      </c>
      <c r="E26" s="11">
        <f t="shared" si="9"/>
        <v>87.5</v>
      </c>
      <c r="F26" s="11"/>
      <c r="G26" s="10">
        <f t="shared" si="44"/>
        <v>127.71880071001031</v>
      </c>
      <c r="H26" s="11">
        <f t="shared" si="45"/>
        <v>638.59400355005153</v>
      </c>
      <c r="I26" s="12">
        <f t="shared" si="10"/>
        <v>5</v>
      </c>
      <c r="J26" s="13">
        <f t="shared" si="11"/>
        <v>120</v>
      </c>
      <c r="K26" s="11">
        <f t="shared" si="12"/>
        <v>84</v>
      </c>
      <c r="L26" s="11"/>
      <c r="M26" s="2">
        <f t="shared" si="46"/>
        <v>12.682833098394449</v>
      </c>
      <c r="N26" s="5">
        <f t="shared" si="13"/>
        <v>190.24249647591674</v>
      </c>
      <c r="O26" s="6">
        <f t="shared" si="14"/>
        <v>15</v>
      </c>
      <c r="P26" s="7">
        <f t="shared" si="15"/>
        <v>395</v>
      </c>
      <c r="Q26" s="5">
        <f t="shared" si="16"/>
        <v>27.650000000000002</v>
      </c>
      <c r="S26" s="10">
        <f t="shared" si="47"/>
        <v>133.83899722812879</v>
      </c>
      <c r="T26" s="11">
        <f t="shared" si="17"/>
        <v>2409.1019501063183</v>
      </c>
      <c r="U26" s="12">
        <f t="shared" si="18"/>
        <v>18</v>
      </c>
      <c r="V26" s="13">
        <f t="shared" si="19"/>
        <v>432</v>
      </c>
      <c r="W26" s="11">
        <f t="shared" si="20"/>
        <v>319.68</v>
      </c>
      <c r="Y26" s="10">
        <f t="shared" si="48"/>
        <v>109.16718212152463</v>
      </c>
      <c r="Z26" s="11">
        <f t="shared" si="21"/>
        <v>1310.0061854582955</v>
      </c>
      <c r="AA26" s="12">
        <f t="shared" si="22"/>
        <v>11.999999999999998</v>
      </c>
      <c r="AB26" s="13">
        <v>125</v>
      </c>
      <c r="AC26" s="11">
        <f t="shared" si="24"/>
        <v>87.5</v>
      </c>
      <c r="AE26" s="10">
        <f t="shared" si="49"/>
        <v>94.976798962434273</v>
      </c>
      <c r="AF26" s="11">
        <f t="shared" si="25"/>
        <v>1234.6983865116456</v>
      </c>
      <c r="AG26" s="12">
        <f t="shared" si="26"/>
        <v>13</v>
      </c>
      <c r="AH26" s="13">
        <v>125</v>
      </c>
      <c r="AI26" s="11">
        <f t="shared" si="28"/>
        <v>91.25</v>
      </c>
      <c r="AJ26" s="11"/>
      <c r="AK26" s="10">
        <f t="shared" si="29"/>
        <v>99.19016214769114</v>
      </c>
      <c r="AL26" s="11">
        <f t="shared" si="30"/>
        <v>1289.4721079199849</v>
      </c>
      <c r="AM26" s="12">
        <f t="shared" si="31"/>
        <v>13</v>
      </c>
      <c r="AN26" s="13">
        <f t="shared" si="32"/>
        <v>312</v>
      </c>
      <c r="AO26" s="11">
        <f t="shared" si="33"/>
        <v>165.36</v>
      </c>
      <c r="AP26" s="11"/>
      <c r="AR26" s="2">
        <f t="shared" si="50"/>
        <v>113.59849505382388</v>
      </c>
      <c r="AS26" s="5">
        <f t="shared" si="34"/>
        <v>3975.947326883836</v>
      </c>
      <c r="AT26" s="6">
        <f t="shared" si="35"/>
        <v>35</v>
      </c>
      <c r="AU26" s="7">
        <f t="shared" si="36"/>
        <v>840</v>
      </c>
      <c r="AV26" s="5">
        <f t="shared" si="37"/>
        <v>420</v>
      </c>
      <c r="AX26" s="2">
        <f t="shared" si="51"/>
        <v>44.436356193107883</v>
      </c>
      <c r="AY26" s="5">
        <f t="shared" si="38"/>
        <v>5243.4900307867301</v>
      </c>
      <c r="AZ26" s="6">
        <f t="shared" si="39"/>
        <v>118</v>
      </c>
      <c r="BA26" s="7">
        <f t="shared" si="40"/>
        <v>2832</v>
      </c>
      <c r="BB26" s="5">
        <f t="shared" si="41"/>
        <v>339.84</v>
      </c>
    </row>
    <row r="27" spans="1:54" ht="3.75" hidden="1" customHeight="1" x14ac:dyDescent="0.25">
      <c r="A27" s="10"/>
      <c r="B27" s="11"/>
      <c r="C27" s="12"/>
      <c r="D27" s="13"/>
      <c r="E27" s="11"/>
      <c r="F27" s="11"/>
      <c r="G27" s="10"/>
      <c r="H27" s="11"/>
      <c r="I27" s="12"/>
      <c r="J27" s="13"/>
      <c r="K27" s="11"/>
      <c r="L27" s="11"/>
      <c r="M27" s="2"/>
      <c r="N27" s="5"/>
      <c r="O27" s="6"/>
      <c r="P27" s="7"/>
      <c r="Q27" s="5"/>
      <c r="S27" s="10"/>
      <c r="T27" s="11"/>
      <c r="U27" s="12"/>
      <c r="V27" s="13"/>
      <c r="W27" s="11"/>
      <c r="Y27" s="10"/>
      <c r="Z27" s="11"/>
      <c r="AA27" s="12"/>
      <c r="AB27" s="13"/>
      <c r="AC27" s="11"/>
      <c r="AE27" s="10"/>
      <c r="AF27" s="11"/>
      <c r="AG27" s="12"/>
      <c r="AH27" s="13"/>
      <c r="AI27" s="11"/>
      <c r="AJ27" s="11"/>
      <c r="AK27" s="10"/>
      <c r="AL27" s="11"/>
      <c r="AM27" s="12"/>
      <c r="AN27" s="13"/>
      <c r="AO27" s="11"/>
      <c r="AP27" s="11"/>
      <c r="AR27" s="2"/>
      <c r="AS27" s="5"/>
      <c r="AT27" s="6"/>
      <c r="AU27" s="7"/>
      <c r="AV27" s="5"/>
      <c r="AX27" s="2"/>
      <c r="AY27" s="5"/>
      <c r="AZ27" s="6"/>
      <c r="BA27" s="7"/>
      <c r="BB27" s="5"/>
    </row>
    <row r="28" spans="1:54" x14ac:dyDescent="0.25">
      <c r="A28" s="9" t="s">
        <v>11</v>
      </c>
      <c r="B28" s="9" t="s">
        <v>31</v>
      </c>
      <c r="C28" s="9" t="s">
        <v>27</v>
      </c>
      <c r="D28" s="9" t="s">
        <v>9</v>
      </c>
      <c r="E28" s="9" t="s">
        <v>32</v>
      </c>
      <c r="G28" s="9" t="s">
        <v>11</v>
      </c>
      <c r="H28" s="9" t="s">
        <v>31</v>
      </c>
      <c r="I28" s="9" t="s">
        <v>27</v>
      </c>
      <c r="J28" s="9" t="s">
        <v>9</v>
      </c>
      <c r="K28" s="9" t="s">
        <v>32</v>
      </c>
      <c r="M28" s="1"/>
      <c r="N28" s="1" t="s">
        <v>6</v>
      </c>
      <c r="O28" s="1"/>
      <c r="P28" s="1" t="s">
        <v>9</v>
      </c>
      <c r="Q28" s="1" t="s">
        <v>27</v>
      </c>
      <c r="S28" s="9" t="s">
        <v>11</v>
      </c>
      <c r="T28" s="9" t="s">
        <v>6</v>
      </c>
      <c r="V28" s="9" t="s">
        <v>9</v>
      </c>
      <c r="W28" s="9" t="s">
        <v>27</v>
      </c>
      <c r="Z28" s="9" t="s">
        <v>6</v>
      </c>
      <c r="AB28" s="9" t="s">
        <v>9</v>
      </c>
      <c r="AC28" s="9" t="s">
        <v>27</v>
      </c>
      <c r="AF28" s="9" t="s">
        <v>6</v>
      </c>
      <c r="AH28" s="9" t="s">
        <v>9</v>
      </c>
      <c r="AI28" s="9" t="s">
        <v>27</v>
      </c>
      <c r="AL28" s="9" t="s">
        <v>6</v>
      </c>
      <c r="AN28" s="9" t="s">
        <v>9</v>
      </c>
      <c r="AO28" s="9" t="s">
        <v>27</v>
      </c>
      <c r="AR28" s="1"/>
      <c r="AS28" s="1" t="s">
        <v>6</v>
      </c>
      <c r="AT28" s="1"/>
      <c r="AU28" s="1" t="s">
        <v>9</v>
      </c>
      <c r="AV28" s="1" t="s">
        <v>27</v>
      </c>
      <c r="AY28" s="1" t="s">
        <v>6</v>
      </c>
      <c r="BA28" s="1" t="s">
        <v>9</v>
      </c>
      <c r="BB28" s="1" t="s">
        <v>27</v>
      </c>
    </row>
    <row r="29" spans="1:54" x14ac:dyDescent="0.25">
      <c r="A29" s="9">
        <v>1</v>
      </c>
      <c r="B29" s="11">
        <f>SUM(B3:B26)</f>
        <v>12648.873528395688</v>
      </c>
      <c r="C29" s="9">
        <f>A26-(A26*0.02)</f>
        <v>114.10723034115789</v>
      </c>
      <c r="D29" s="13">
        <f>SUM(C3:C26)</f>
        <v>125</v>
      </c>
      <c r="E29" s="11">
        <f>SUM(E3:E26)</f>
        <v>1327.2</v>
      </c>
      <c r="F29" s="11"/>
      <c r="G29" s="9">
        <v>1</v>
      </c>
      <c r="H29" s="11">
        <f>SUM(H3:H26)</f>
        <v>13695.594358555201</v>
      </c>
      <c r="I29" s="9">
        <f>G26-(G26*0.02)</f>
        <v>125.16442469581011</v>
      </c>
      <c r="J29" s="13">
        <f>SUM(I3:I26)</f>
        <v>120</v>
      </c>
      <c r="K29" s="11">
        <f>SUM(K3:K26)</f>
        <v>1050</v>
      </c>
      <c r="L29" s="11"/>
      <c r="M29" s="1"/>
      <c r="N29" s="1">
        <f>SUM(N3:N26)</f>
        <v>4428.9821440675896</v>
      </c>
      <c r="O29" s="1"/>
      <c r="P29" s="1">
        <f>SUM(P3:P26)</f>
        <v>5340</v>
      </c>
      <c r="Q29" s="5">
        <f>SUM(Q3:Q26)</f>
        <v>373.3</v>
      </c>
      <c r="T29" s="9">
        <f>SUM(T3:T26)</f>
        <v>53423.666251008886</v>
      </c>
      <c r="V29" s="9">
        <f>SUM(V3:V26)</f>
        <v>5400</v>
      </c>
      <c r="W29" s="11">
        <f>SUM(W3:W26)</f>
        <v>3996</v>
      </c>
      <c r="Z29" s="9">
        <f>SUM(Z3:Z26)</f>
        <v>28087.024731287871</v>
      </c>
      <c r="AB29" s="9">
        <f>SUM(AB3:AB26)</f>
        <v>3437</v>
      </c>
      <c r="AC29" s="11">
        <f>SUM(AC3:AC26)</f>
        <v>2405.8999999999996</v>
      </c>
      <c r="AF29" s="9">
        <f>SUM(AF3:AF26)</f>
        <v>26497.337037676196</v>
      </c>
      <c r="AH29" s="9">
        <f>SUM(AH3:AH26)</f>
        <v>3713</v>
      </c>
      <c r="AI29" s="11">
        <f>SUM(AI3:AI26)</f>
        <v>2710.49</v>
      </c>
      <c r="AJ29" s="11"/>
      <c r="AL29" s="9">
        <f>SUM(AL3:AL26)</f>
        <v>27666.682899918465</v>
      </c>
      <c r="AN29" s="9">
        <f>SUM(AN3:AN26)</f>
        <v>3900</v>
      </c>
      <c r="AO29" s="11">
        <f>SUM(AO3:AO26)</f>
        <v>2067.0000000000005</v>
      </c>
      <c r="AR29" s="1"/>
      <c r="AS29" s="1">
        <f>SUM(AS3:AS26)</f>
        <v>85270.080015267478</v>
      </c>
      <c r="AT29" s="1"/>
      <c r="AU29" s="1">
        <f>SUM(AU3:AU26)</f>
        <v>10500</v>
      </c>
      <c r="AV29" s="5">
        <f>SUM(AV3:AV26)</f>
        <v>5250</v>
      </c>
      <c r="AY29" s="1">
        <f>SUM(AY3:AY26)</f>
        <v>112462.49310945971</v>
      </c>
      <c r="BA29" s="1">
        <f>SUM(BA3:BA26)</f>
        <v>35400</v>
      </c>
      <c r="BB29" s="5">
        <f>SUM(BB3:BB26)</f>
        <v>4248</v>
      </c>
    </row>
    <row r="34" spans="41:42" x14ac:dyDescent="0.25">
      <c r="AO34" s="9">
        <f>S29-Y29</f>
        <v>0</v>
      </c>
      <c r="AP34" s="9">
        <f>AO34/Y26</f>
        <v>0</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13E9910-6752-46C6-941D-2F56BB2319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Investimentos</vt:lpstr>
      <vt:lpstr>Funds Rend</vt:lpstr>
      <vt:lpstr>Sheet8</vt:lpstr>
      <vt:lpstr>Payment</vt:lpstr>
      <vt:lpstr>Analytics FII</vt:lpstr>
      <vt:lpstr>Sheet8!pubhtml</vt:lpstr>
    </vt:vector>
  </TitlesOfParts>
  <Company>Syngenta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Costa Matheus BRSP</dc:creator>
  <cp:lastModifiedBy>Costa Matheus BRSP</cp:lastModifiedBy>
  <cp:lastPrinted>2020-04-01T20:28:59Z</cp:lastPrinted>
  <dcterms:created xsi:type="dcterms:W3CDTF">2020-03-18T23:45:48Z</dcterms:created>
  <dcterms:modified xsi:type="dcterms:W3CDTF">2020-07-04T00:37:57Z</dcterms:modified>
</cp:coreProperties>
</file>